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avim\TTK4147 sanntid\TTK4147_Sanntidsystemer\ex6\brtt-documentation\"/>
    </mc:Choice>
  </mc:AlternateContent>
  <xr:revisionPtr revIDLastSave="0" documentId="13_ncr:1_{1DACED1F-9F38-4268-BF58-4494B76BB95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put" sheetId="1" r:id="rId1"/>
    <sheet name="Calculations" sheetId="2" r:id="rId2"/>
    <sheet name="Graphs" sheetId="10" r:id="rId3"/>
    <sheet name="Compare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2" l="1"/>
  <c r="D30" i="2" s="1"/>
  <c r="B11" i="2"/>
  <c r="D11" i="2" s="1"/>
  <c r="B12" i="2"/>
  <c r="D12" i="2" s="1"/>
  <c r="B13" i="2"/>
  <c r="D13" i="2" s="1"/>
  <c r="B14" i="2"/>
  <c r="D14" i="2" s="1"/>
  <c r="B15" i="2"/>
  <c r="D15" i="2" s="1"/>
  <c r="B16" i="2"/>
  <c r="D16" i="2" s="1"/>
  <c r="B17" i="2"/>
  <c r="D17" i="2" s="1"/>
  <c r="B18" i="2"/>
  <c r="D18" i="2" s="1"/>
  <c r="B19" i="2"/>
  <c r="D19" i="2" s="1"/>
  <c r="B20" i="2"/>
  <c r="D20" i="2" s="1"/>
  <c r="B21" i="2"/>
  <c r="D21" i="2" s="1"/>
  <c r="B22" i="2"/>
  <c r="D22" i="2" s="1"/>
  <c r="B23" i="2"/>
  <c r="D23" i="2" s="1"/>
  <c r="B24" i="2"/>
  <c r="D24" i="2" s="1"/>
  <c r="B25" i="2"/>
  <c r="D25" i="2" s="1"/>
  <c r="B26" i="2"/>
  <c r="D26" i="2" s="1"/>
  <c r="B27" i="2"/>
  <c r="D27" i="2" s="1"/>
  <c r="B28" i="2"/>
  <c r="D28" i="2" s="1"/>
  <c r="B29" i="2"/>
  <c r="D29" i="2" s="1"/>
  <c r="AG8" i="2"/>
  <c r="AF8" i="2"/>
  <c r="AE8" i="2"/>
  <c r="AD8" i="2"/>
  <c r="AG7" i="2"/>
  <c r="AF7" i="2"/>
  <c r="AE7" i="2"/>
  <c r="AD7" i="2"/>
  <c r="AG6" i="2"/>
  <c r="AF6" i="2"/>
  <c r="AE6" i="2"/>
  <c r="AD6" i="2"/>
  <c r="AD3" i="2"/>
  <c r="AB8" i="2"/>
  <c r="AA8" i="2"/>
  <c r="Z8" i="2"/>
  <c r="Y8" i="2"/>
  <c r="AB7" i="2"/>
  <c r="AA7" i="2"/>
  <c r="Z7" i="2"/>
  <c r="Y7" i="2"/>
  <c r="AB6" i="2"/>
  <c r="AA6" i="2"/>
  <c r="Z6" i="2"/>
  <c r="Y6" i="2"/>
  <c r="Y3" i="2"/>
  <c r="W8" i="2"/>
  <c r="V8" i="2"/>
  <c r="U8" i="2"/>
  <c r="T8" i="2"/>
  <c r="W7" i="2"/>
  <c r="V7" i="2"/>
  <c r="U7" i="2"/>
  <c r="T7" i="2"/>
  <c r="W6" i="2"/>
  <c r="V6" i="2"/>
  <c r="U6" i="2"/>
  <c r="T6" i="2"/>
  <c r="T3" i="2"/>
  <c r="R8" i="2"/>
  <c r="Q8" i="2"/>
  <c r="P8" i="2"/>
  <c r="O8" i="2"/>
  <c r="R7" i="2"/>
  <c r="Q7" i="2"/>
  <c r="P7" i="2"/>
  <c r="O7" i="2"/>
  <c r="R6" i="2"/>
  <c r="Q6" i="2"/>
  <c r="P6" i="2"/>
  <c r="O6" i="2"/>
  <c r="O3" i="2"/>
  <c r="M8" i="2"/>
  <c r="L8" i="2"/>
  <c r="K8" i="2"/>
  <c r="J8" i="2"/>
  <c r="M7" i="2"/>
  <c r="L7" i="2"/>
  <c r="K7" i="2"/>
  <c r="J7" i="2"/>
  <c r="M6" i="2"/>
  <c r="L6" i="2"/>
  <c r="K6" i="2"/>
  <c r="J6" i="2"/>
  <c r="J3" i="2"/>
  <c r="E6" i="2"/>
  <c r="F6" i="2"/>
  <c r="E7" i="2"/>
  <c r="F7" i="2"/>
  <c r="E8" i="2"/>
  <c r="F8" i="2"/>
  <c r="G8" i="2"/>
  <c r="G7" i="2"/>
  <c r="G6" i="2"/>
  <c r="H8" i="2"/>
  <c r="H7" i="2"/>
  <c r="H6" i="2"/>
  <c r="E3" i="2"/>
  <c r="F10" i="2" l="1" a="1"/>
  <c r="G10" i="2" a="1"/>
  <c r="J10" i="2" a="1"/>
  <c r="K10" i="2" a="1"/>
  <c r="L10" i="2" a="1"/>
  <c r="O10" i="2" a="1"/>
  <c r="P10" i="2" a="1"/>
  <c r="AF10" i="2" a="1"/>
  <c r="AE10" i="2" a="1"/>
  <c r="AD10" i="2" a="1"/>
  <c r="AA10" i="2" a="1"/>
  <c r="Z10" i="2" a="1"/>
  <c r="Y10" i="2" a="1"/>
  <c r="V10" i="2" a="1"/>
  <c r="U10" i="2" a="1"/>
  <c r="T10" i="2" a="1"/>
  <c r="Q10" i="2" a="1"/>
  <c r="E10" i="2" a="1"/>
  <c r="E10" i="2" s="1"/>
  <c r="E14" i="2" l="1"/>
  <c r="E18" i="2"/>
  <c r="E22" i="2"/>
  <c r="E26" i="2"/>
  <c r="E11" i="2"/>
  <c r="E15" i="2"/>
  <c r="E19" i="2"/>
  <c r="Q10" i="2"/>
  <c r="Q12" i="2"/>
  <c r="Q14" i="2"/>
  <c r="Q16" i="2"/>
  <c r="Q18" i="2"/>
  <c r="Q20" i="2"/>
  <c r="Q22" i="2"/>
  <c r="Q24" i="2"/>
  <c r="Q26" i="2"/>
  <c r="Q28" i="2"/>
  <c r="Q30" i="2"/>
  <c r="Q13" i="2"/>
  <c r="Q17" i="2"/>
  <c r="Q21" i="2"/>
  <c r="Q25" i="2"/>
  <c r="Q29" i="2"/>
  <c r="Q11" i="2"/>
  <c r="Q15" i="2"/>
  <c r="Q19" i="2"/>
  <c r="Q23" i="2"/>
  <c r="Q27" i="2"/>
  <c r="E12" i="2"/>
  <c r="E16" i="2"/>
  <c r="E20" i="2"/>
  <c r="E24" i="2"/>
  <c r="E28" i="2"/>
  <c r="E13" i="2"/>
  <c r="E17" i="2"/>
  <c r="E23" i="2"/>
  <c r="T10" i="2"/>
  <c r="T12" i="2"/>
  <c r="T14" i="2"/>
  <c r="T16" i="2"/>
  <c r="T18" i="2"/>
  <c r="T20" i="2"/>
  <c r="T22" i="2"/>
  <c r="T24" i="2"/>
  <c r="T11" i="2"/>
  <c r="T15" i="2"/>
  <c r="T19" i="2"/>
  <c r="T23" i="2"/>
  <c r="T26" i="2"/>
  <c r="T28" i="2"/>
  <c r="T30" i="2"/>
  <c r="T13" i="2"/>
  <c r="T17" i="2"/>
  <c r="T21" i="2"/>
  <c r="T25" i="2"/>
  <c r="T27" i="2"/>
  <c r="T29" i="2"/>
  <c r="V10" i="2"/>
  <c r="V12" i="2"/>
  <c r="V14" i="2"/>
  <c r="V16" i="2"/>
  <c r="V18" i="2"/>
  <c r="V20" i="2"/>
  <c r="V22" i="2"/>
  <c r="V24" i="2"/>
  <c r="V26" i="2"/>
  <c r="V28" i="2"/>
  <c r="V30" i="2"/>
  <c r="V11" i="2"/>
  <c r="V13" i="2"/>
  <c r="V15" i="2"/>
  <c r="V17" i="2"/>
  <c r="V19" i="2"/>
  <c r="V21" i="2"/>
  <c r="V23" i="2"/>
  <c r="V25" i="2"/>
  <c r="V27" i="2"/>
  <c r="V29" i="2"/>
  <c r="Z10" i="2"/>
  <c r="Z12" i="2"/>
  <c r="Z14" i="2"/>
  <c r="Z16" i="2"/>
  <c r="Z18" i="2"/>
  <c r="Z20" i="2"/>
  <c r="Z22" i="2"/>
  <c r="Z24" i="2"/>
  <c r="Z26" i="2"/>
  <c r="Z28" i="2"/>
  <c r="Z30" i="2"/>
  <c r="Z11" i="2"/>
  <c r="Z13" i="2"/>
  <c r="Z15" i="2"/>
  <c r="Z17" i="2"/>
  <c r="Z19" i="2"/>
  <c r="Z21" i="2"/>
  <c r="Z23" i="2"/>
  <c r="Z25" i="2"/>
  <c r="Z27" i="2"/>
  <c r="Z29" i="2"/>
  <c r="AD10" i="2"/>
  <c r="AD12" i="2"/>
  <c r="AD14" i="2"/>
  <c r="AD16" i="2"/>
  <c r="AD18" i="2"/>
  <c r="AD20" i="2"/>
  <c r="AD22" i="2"/>
  <c r="AD24" i="2"/>
  <c r="AD26" i="2"/>
  <c r="AD28" i="2"/>
  <c r="AD30" i="2"/>
  <c r="AD11" i="2"/>
  <c r="AD13" i="2"/>
  <c r="AD15" i="2"/>
  <c r="AD17" i="2"/>
  <c r="AD19" i="2"/>
  <c r="AD21" i="2"/>
  <c r="AD23" i="2"/>
  <c r="AD25" i="2"/>
  <c r="AD27" i="2"/>
  <c r="AD29" i="2"/>
  <c r="AF10" i="2"/>
  <c r="AF12" i="2"/>
  <c r="AF14" i="2"/>
  <c r="AF16" i="2"/>
  <c r="AF18" i="2"/>
  <c r="AF20" i="2"/>
  <c r="AF22" i="2"/>
  <c r="AF24" i="2"/>
  <c r="AF26" i="2"/>
  <c r="AF28" i="2"/>
  <c r="AF30" i="2"/>
  <c r="AF11" i="2"/>
  <c r="AF13" i="2"/>
  <c r="AF15" i="2"/>
  <c r="AF17" i="2"/>
  <c r="AF19" i="2"/>
  <c r="AF21" i="2"/>
  <c r="AF23" i="2"/>
  <c r="AF25" i="2"/>
  <c r="AF27" i="2"/>
  <c r="AF29" i="2"/>
  <c r="O10" i="2"/>
  <c r="O12" i="2"/>
  <c r="O14" i="2"/>
  <c r="O16" i="2"/>
  <c r="O18" i="2"/>
  <c r="O20" i="2"/>
  <c r="O22" i="2"/>
  <c r="O24" i="2"/>
  <c r="O26" i="2"/>
  <c r="O28" i="2"/>
  <c r="O30" i="2"/>
  <c r="O11" i="2"/>
  <c r="O13" i="2"/>
  <c r="O15" i="2"/>
  <c r="O17" i="2"/>
  <c r="O19" i="2"/>
  <c r="O21" i="2"/>
  <c r="O23" i="2"/>
  <c r="O25" i="2"/>
  <c r="O27" i="2"/>
  <c r="O29" i="2"/>
  <c r="K10" i="2"/>
  <c r="K12" i="2"/>
  <c r="K14" i="2"/>
  <c r="K16" i="2"/>
  <c r="K18" i="2"/>
  <c r="K20" i="2"/>
  <c r="K22" i="2"/>
  <c r="K24" i="2"/>
  <c r="K26" i="2"/>
  <c r="K28" i="2"/>
  <c r="K30" i="2"/>
  <c r="K11" i="2"/>
  <c r="K13" i="2"/>
  <c r="K15" i="2"/>
  <c r="K17" i="2"/>
  <c r="K19" i="2"/>
  <c r="K21" i="2"/>
  <c r="K23" i="2"/>
  <c r="K25" i="2"/>
  <c r="K27" i="2"/>
  <c r="K29" i="2"/>
  <c r="G10" i="2"/>
  <c r="G12" i="2"/>
  <c r="G14" i="2"/>
  <c r="G16" i="2"/>
  <c r="G18" i="2"/>
  <c r="G20" i="2"/>
  <c r="G22" i="2"/>
  <c r="G24" i="2"/>
  <c r="G26" i="2"/>
  <c r="G28" i="2"/>
  <c r="G30" i="2"/>
  <c r="G13" i="2"/>
  <c r="G17" i="2"/>
  <c r="G21" i="2"/>
  <c r="G25" i="2"/>
  <c r="G29" i="2"/>
  <c r="G11" i="2"/>
  <c r="G15" i="2"/>
  <c r="G19" i="2"/>
  <c r="G23" i="2"/>
  <c r="G27" i="2"/>
  <c r="U10" i="2"/>
  <c r="U12" i="2"/>
  <c r="U14" i="2"/>
  <c r="U16" i="2"/>
  <c r="U18" i="2"/>
  <c r="U20" i="2"/>
  <c r="U22" i="2"/>
  <c r="U24" i="2"/>
  <c r="U26" i="2"/>
  <c r="U28" i="2"/>
  <c r="U30" i="2"/>
  <c r="U11" i="2"/>
  <c r="U13" i="2"/>
  <c r="U15" i="2"/>
  <c r="U17" i="2"/>
  <c r="U19" i="2"/>
  <c r="U21" i="2"/>
  <c r="U23" i="2"/>
  <c r="U25" i="2"/>
  <c r="U27" i="2"/>
  <c r="U29" i="2"/>
  <c r="Y10" i="2"/>
  <c r="Y12" i="2"/>
  <c r="Y14" i="2"/>
  <c r="Y16" i="2"/>
  <c r="Y18" i="2"/>
  <c r="Y20" i="2"/>
  <c r="Y22" i="2"/>
  <c r="Y24" i="2"/>
  <c r="Y26" i="2"/>
  <c r="Y28" i="2"/>
  <c r="Y30" i="2"/>
  <c r="Y11" i="2"/>
  <c r="Y13" i="2"/>
  <c r="Y15" i="2"/>
  <c r="Y17" i="2"/>
  <c r="Y19" i="2"/>
  <c r="Y21" i="2"/>
  <c r="Y23" i="2"/>
  <c r="Y25" i="2"/>
  <c r="Y27" i="2"/>
  <c r="Y29" i="2"/>
  <c r="AA10" i="2"/>
  <c r="AA12" i="2"/>
  <c r="AA14" i="2"/>
  <c r="AA16" i="2"/>
  <c r="AA18" i="2"/>
  <c r="AA20" i="2"/>
  <c r="AA22" i="2"/>
  <c r="AA24" i="2"/>
  <c r="AA26" i="2"/>
  <c r="AA28" i="2"/>
  <c r="AA30" i="2"/>
  <c r="AA11" i="2"/>
  <c r="AA13" i="2"/>
  <c r="AA15" i="2"/>
  <c r="AA17" i="2"/>
  <c r="AA19" i="2"/>
  <c r="AA21" i="2"/>
  <c r="AA23" i="2"/>
  <c r="AA25" i="2"/>
  <c r="AA27" i="2"/>
  <c r="AA29" i="2"/>
  <c r="AE10" i="2"/>
  <c r="AE12" i="2"/>
  <c r="AE14" i="2"/>
  <c r="AE16" i="2"/>
  <c r="AE18" i="2"/>
  <c r="AE20" i="2"/>
  <c r="AE22" i="2"/>
  <c r="AE24" i="2"/>
  <c r="AE26" i="2"/>
  <c r="AE28" i="2"/>
  <c r="AE30" i="2"/>
  <c r="AE11" i="2"/>
  <c r="AE13" i="2"/>
  <c r="AE15" i="2"/>
  <c r="AE17" i="2"/>
  <c r="AE19" i="2"/>
  <c r="AE21" i="2"/>
  <c r="AE23" i="2"/>
  <c r="AE25" i="2"/>
  <c r="AE27" i="2"/>
  <c r="AE29" i="2"/>
  <c r="P10" i="2"/>
  <c r="P12" i="2"/>
  <c r="P14" i="2"/>
  <c r="P16" i="2"/>
  <c r="P18" i="2"/>
  <c r="P20" i="2"/>
  <c r="P22" i="2"/>
  <c r="P24" i="2"/>
  <c r="P26" i="2"/>
  <c r="P28" i="2"/>
  <c r="P30" i="2"/>
  <c r="P11" i="2"/>
  <c r="P15" i="2"/>
  <c r="P19" i="2"/>
  <c r="P23" i="2"/>
  <c r="P27" i="2"/>
  <c r="P13" i="2"/>
  <c r="P17" i="2"/>
  <c r="P21" i="2"/>
  <c r="P25" i="2"/>
  <c r="P29" i="2"/>
  <c r="L10" i="2"/>
  <c r="L12" i="2"/>
  <c r="L14" i="2"/>
  <c r="L16" i="2"/>
  <c r="L18" i="2"/>
  <c r="L20" i="2"/>
  <c r="L22" i="2"/>
  <c r="L24" i="2"/>
  <c r="L26" i="2"/>
  <c r="L28" i="2"/>
  <c r="L30" i="2"/>
  <c r="L11" i="2"/>
  <c r="L13" i="2"/>
  <c r="L15" i="2"/>
  <c r="L17" i="2"/>
  <c r="L19" i="2"/>
  <c r="L21" i="2"/>
  <c r="L23" i="2"/>
  <c r="L25" i="2"/>
  <c r="L27" i="2"/>
  <c r="L29" i="2"/>
  <c r="J10" i="2"/>
  <c r="J12" i="2"/>
  <c r="J14" i="2"/>
  <c r="J16" i="2"/>
  <c r="J18" i="2"/>
  <c r="J20" i="2"/>
  <c r="J22" i="2"/>
  <c r="J24" i="2"/>
  <c r="J26" i="2"/>
  <c r="J28" i="2"/>
  <c r="J30" i="2"/>
  <c r="J11" i="2"/>
  <c r="J13" i="2"/>
  <c r="J15" i="2"/>
  <c r="J17" i="2"/>
  <c r="J19" i="2"/>
  <c r="J21" i="2"/>
  <c r="J23" i="2"/>
  <c r="J25" i="2"/>
  <c r="J27" i="2"/>
  <c r="J29" i="2"/>
  <c r="F10" i="2"/>
  <c r="H10" i="2" s="1"/>
  <c r="F12" i="2"/>
  <c r="F14" i="2"/>
  <c r="F16" i="2"/>
  <c r="F18" i="2"/>
  <c r="F20" i="2"/>
  <c r="F22" i="2"/>
  <c r="F24" i="2"/>
  <c r="F26" i="2"/>
  <c r="F28" i="2"/>
  <c r="F30" i="2"/>
  <c r="F11" i="2"/>
  <c r="F15" i="2"/>
  <c r="F19" i="2"/>
  <c r="F23" i="2"/>
  <c r="F27" i="2"/>
  <c r="F13" i="2"/>
  <c r="F17" i="2"/>
  <c r="F21" i="2"/>
  <c r="F25" i="2"/>
  <c r="F29" i="2"/>
  <c r="E30" i="2"/>
  <c r="E21" i="2"/>
  <c r="E27" i="2"/>
  <c r="E25" i="2"/>
  <c r="E29" i="2"/>
  <c r="H21" i="2" l="1"/>
  <c r="H29" i="2"/>
  <c r="H27" i="2"/>
  <c r="H30" i="2"/>
  <c r="M29" i="2"/>
  <c r="M25" i="2"/>
  <c r="M21" i="2"/>
  <c r="M17" i="2"/>
  <c r="M13" i="2"/>
  <c r="M30" i="2"/>
  <c r="M26" i="2"/>
  <c r="M22" i="2"/>
  <c r="M18" i="2"/>
  <c r="M14" i="2"/>
  <c r="M10" i="2"/>
  <c r="AB27" i="2"/>
  <c r="AB23" i="2"/>
  <c r="AB19" i="2"/>
  <c r="AB15" i="2"/>
  <c r="AB11" i="2"/>
  <c r="AB28" i="2"/>
  <c r="AB24" i="2"/>
  <c r="AB20" i="2"/>
  <c r="AB16" i="2"/>
  <c r="AB12" i="2"/>
  <c r="R29" i="2"/>
  <c r="R25" i="2"/>
  <c r="R21" i="2"/>
  <c r="R17" i="2"/>
  <c r="R13" i="2"/>
  <c r="R30" i="2"/>
  <c r="R26" i="2"/>
  <c r="R22" i="2"/>
  <c r="R18" i="2"/>
  <c r="R14" i="2"/>
  <c r="R10" i="2"/>
  <c r="AG29" i="2"/>
  <c r="AG25" i="2"/>
  <c r="AG21" i="2"/>
  <c r="AG17" i="2"/>
  <c r="AG13" i="2"/>
  <c r="AG30" i="2"/>
  <c r="AG26" i="2"/>
  <c r="AG22" i="2"/>
  <c r="AG18" i="2"/>
  <c r="AG14" i="2"/>
  <c r="AG10" i="2"/>
  <c r="W27" i="2"/>
  <c r="W21" i="2"/>
  <c r="W13" i="2"/>
  <c r="W28" i="2"/>
  <c r="W23" i="2"/>
  <c r="W15" i="2"/>
  <c r="W24" i="2"/>
  <c r="W20" i="2"/>
  <c r="W16" i="2"/>
  <c r="W12" i="2"/>
  <c r="H23" i="2"/>
  <c r="H13" i="2"/>
  <c r="H24" i="2"/>
  <c r="H16" i="2"/>
  <c r="H15" i="2"/>
  <c r="H26" i="2"/>
  <c r="H18" i="2"/>
  <c r="H25" i="2"/>
  <c r="M27" i="2"/>
  <c r="M23" i="2"/>
  <c r="M19" i="2"/>
  <c r="M15" i="2"/>
  <c r="M11" i="2"/>
  <c r="M28" i="2"/>
  <c r="M24" i="2"/>
  <c r="M20" i="2"/>
  <c r="M16" i="2"/>
  <c r="M12" i="2"/>
  <c r="AB29" i="2"/>
  <c r="AB25" i="2"/>
  <c r="AB21" i="2"/>
  <c r="AB17" i="2"/>
  <c r="AB13" i="2"/>
  <c r="AB30" i="2"/>
  <c r="AB26" i="2"/>
  <c r="AB22" i="2"/>
  <c r="AB18" i="2"/>
  <c r="AB14" i="2"/>
  <c r="AB10" i="2"/>
  <c r="R27" i="2"/>
  <c r="R23" i="2"/>
  <c r="R19" i="2"/>
  <c r="R15" i="2"/>
  <c r="R11" i="2"/>
  <c r="R28" i="2"/>
  <c r="R24" i="2"/>
  <c r="R20" i="2"/>
  <c r="R16" i="2"/>
  <c r="R12" i="2"/>
  <c r="AG27" i="2"/>
  <c r="AG23" i="2"/>
  <c r="AG19" i="2"/>
  <c r="AG15" i="2"/>
  <c r="AG11" i="2"/>
  <c r="AG28" i="2"/>
  <c r="AG24" i="2"/>
  <c r="AG20" i="2"/>
  <c r="AG16" i="2"/>
  <c r="AG12" i="2"/>
  <c r="W29" i="2"/>
  <c r="W25" i="2"/>
  <c r="W17" i="2"/>
  <c r="W30" i="2"/>
  <c r="W26" i="2"/>
  <c r="W19" i="2"/>
  <c r="W11" i="2"/>
  <c r="W22" i="2"/>
  <c r="W18" i="2"/>
  <c r="W14" i="2"/>
  <c r="W10" i="2"/>
  <c r="H17" i="2"/>
  <c r="H28" i="2"/>
  <c r="H20" i="2"/>
  <c r="H12" i="2"/>
  <c r="H19" i="2"/>
  <c r="H11" i="2"/>
  <c r="H22" i="2"/>
  <c r="H14" i="2"/>
</calcChain>
</file>

<file path=xl/sharedStrings.xml><?xml version="1.0" encoding="utf-8"?>
<sst xmlns="http://schemas.openxmlformats.org/spreadsheetml/2006/main" count="52" uniqueCount="11">
  <si>
    <t>Test name:</t>
  </si>
  <si>
    <t>Paste here…</t>
  </si>
  <si>
    <t>A</t>
  </si>
  <si>
    <t>B</t>
  </si>
  <si>
    <t>C</t>
  </si>
  <si>
    <t>Min time:</t>
  </si>
  <si>
    <t>Max time:</t>
  </si>
  <si>
    <t>Total</t>
  </si>
  <si>
    <t>Avr time:</t>
  </si>
  <si>
    <t>…</t>
  </si>
  <si>
    <t>Select scale (in us):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</si>
</sst>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6" fillId="33" borderId="10" xfId="0" applyFont="1" applyFill="1" applyBorder="1"/>
    <xf numFmtId="0" fontId="0" fillId="0" borderId="14" xfId="0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3" borderId="13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Input!$E$3</c:f>
          <c:strCache>
            <c:ptCount val="1"/>
            <c:pt idx="0">
              <c:v>…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Calculations!$E$5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Calculations!$E$10:$E$30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4D-4A51-AD7D-EB593B2B28C5}"/>
            </c:ext>
          </c:extLst>
        </c:ser>
        <c:ser>
          <c:idx val="1"/>
          <c:order val="1"/>
          <c:tx>
            <c:strRef>
              <c:f>Calculations!$F$5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Calculations!$F$10:$F$30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4D-4A51-AD7D-EB593B2B28C5}"/>
            </c:ext>
          </c:extLst>
        </c:ser>
        <c:ser>
          <c:idx val="2"/>
          <c:order val="2"/>
          <c:tx>
            <c:strRef>
              <c:f>Calculations!$G$5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Calculations!$G$10:$G$30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4D-4A51-AD7D-EB593B2B2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2649040"/>
        <c:axId val="312649600"/>
      </c:barChart>
      <c:catAx>
        <c:axId val="312649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2649600"/>
        <c:crosses val="autoZero"/>
        <c:auto val="1"/>
        <c:lblAlgn val="ctr"/>
        <c:lblOffset val="100"/>
        <c:noMultiLvlLbl val="0"/>
      </c:catAx>
      <c:valAx>
        <c:axId val="3126496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 of instances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26490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Input!$J$3</c:f>
          <c:strCache>
            <c:ptCount val="1"/>
            <c:pt idx="0">
              <c:v>…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Calculations!$J$5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Calculations!$J$10:$J$30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7E-4EAD-83C6-6C8273B4C11F}"/>
            </c:ext>
          </c:extLst>
        </c:ser>
        <c:ser>
          <c:idx val="1"/>
          <c:order val="1"/>
          <c:tx>
            <c:strRef>
              <c:f>Calculations!$K$5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Calculations!$K$10:$K$30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7E-4EAD-83C6-6C8273B4C11F}"/>
            </c:ext>
          </c:extLst>
        </c:ser>
        <c:ser>
          <c:idx val="2"/>
          <c:order val="2"/>
          <c:tx>
            <c:strRef>
              <c:f>Calculations!$L$5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Calculations!$L$10:$L$30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7E-4EAD-83C6-6C8273B4C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804736"/>
        <c:axId val="313805296"/>
      </c:barChart>
      <c:catAx>
        <c:axId val="313804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3805296"/>
        <c:crosses val="autoZero"/>
        <c:auto val="1"/>
        <c:lblAlgn val="ctr"/>
        <c:lblOffset val="100"/>
        <c:noMultiLvlLbl val="0"/>
      </c:catAx>
      <c:valAx>
        <c:axId val="3138052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8047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Input!$O$3</c:f>
          <c:strCache>
            <c:ptCount val="1"/>
            <c:pt idx="0">
              <c:v>…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Calculations!$O$5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Calculations!$O$10:$O$30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C8-4C22-8145-1654A80D20D3}"/>
            </c:ext>
          </c:extLst>
        </c:ser>
        <c:ser>
          <c:idx val="1"/>
          <c:order val="1"/>
          <c:tx>
            <c:strRef>
              <c:f>Calculations!$P$5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Calculations!$P$10:$P$30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C8-4C22-8145-1654A80D20D3}"/>
            </c:ext>
          </c:extLst>
        </c:ser>
        <c:ser>
          <c:idx val="2"/>
          <c:order val="2"/>
          <c:tx>
            <c:strRef>
              <c:f>Calculations!$Q$5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Calculations!$Q$10:$Q$30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C8-4C22-8145-1654A80D2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809216"/>
        <c:axId val="313809776"/>
      </c:barChart>
      <c:catAx>
        <c:axId val="313809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3809776"/>
        <c:crosses val="autoZero"/>
        <c:auto val="1"/>
        <c:lblAlgn val="ctr"/>
        <c:lblOffset val="100"/>
        <c:noMultiLvlLbl val="0"/>
      </c:catAx>
      <c:valAx>
        <c:axId val="313809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8092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Input!$T$3</c:f>
          <c:strCache>
            <c:ptCount val="1"/>
            <c:pt idx="0">
              <c:v>…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Calculations!$T$5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Calculations!$T$10:$T$30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FE-45AA-B2A3-D3920A8F7912}"/>
            </c:ext>
          </c:extLst>
        </c:ser>
        <c:ser>
          <c:idx val="1"/>
          <c:order val="1"/>
          <c:tx>
            <c:strRef>
              <c:f>Calculations!$U$5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Calculations!$U$10:$U$30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FE-45AA-B2A3-D3920A8F7912}"/>
            </c:ext>
          </c:extLst>
        </c:ser>
        <c:ser>
          <c:idx val="2"/>
          <c:order val="2"/>
          <c:tx>
            <c:strRef>
              <c:f>Calculations!$V$5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Calculations!$V$10:$V$30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FE-45AA-B2A3-D3920A8F7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813696"/>
        <c:axId val="313814256"/>
      </c:barChart>
      <c:catAx>
        <c:axId val="313813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3814256"/>
        <c:crosses val="autoZero"/>
        <c:auto val="1"/>
        <c:lblAlgn val="ctr"/>
        <c:lblOffset val="100"/>
        <c:noMultiLvlLbl val="0"/>
      </c:catAx>
      <c:valAx>
        <c:axId val="3138142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8136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Input!$Y$3</c:f>
          <c:strCache>
            <c:ptCount val="1"/>
            <c:pt idx="0">
              <c:v>…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Calculations!$Y$5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Calculations!$Y$10:$Y$30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6C-4A29-A485-0EC090CEDB9D}"/>
            </c:ext>
          </c:extLst>
        </c:ser>
        <c:ser>
          <c:idx val="1"/>
          <c:order val="1"/>
          <c:tx>
            <c:strRef>
              <c:f>Calculations!$Z$5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Calculations!$Z$10:$Z$30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6C-4A29-A485-0EC090CEDB9D}"/>
            </c:ext>
          </c:extLst>
        </c:ser>
        <c:ser>
          <c:idx val="2"/>
          <c:order val="2"/>
          <c:tx>
            <c:strRef>
              <c:f>Calculations!$AA$5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Calculations!$AA$10:$AA$30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6C-4A29-A485-0EC090CED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818176"/>
        <c:axId val="313818736"/>
      </c:barChart>
      <c:catAx>
        <c:axId val="313818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3818736"/>
        <c:crosses val="autoZero"/>
        <c:auto val="1"/>
        <c:lblAlgn val="ctr"/>
        <c:lblOffset val="100"/>
        <c:noMultiLvlLbl val="0"/>
      </c:catAx>
      <c:valAx>
        <c:axId val="3138187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8181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Input!$AD$3</c:f>
          <c:strCache>
            <c:ptCount val="1"/>
            <c:pt idx="0">
              <c:v>…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Calculations!$AD$5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Calculations!$AD$10:$AD$30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B2-4031-867E-93F84DB34355}"/>
            </c:ext>
          </c:extLst>
        </c:ser>
        <c:ser>
          <c:idx val="1"/>
          <c:order val="1"/>
          <c:tx>
            <c:strRef>
              <c:f>Calculations!$AE$5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Calculations!$AE$10:$AE$30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B2-4031-867E-93F84DB34355}"/>
            </c:ext>
          </c:extLst>
        </c:ser>
        <c:ser>
          <c:idx val="2"/>
          <c:order val="2"/>
          <c:tx>
            <c:strRef>
              <c:f>Calculations!$AF$5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Calculations!$AF$10:$AF$30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B2-4031-867E-93F84DB34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4418240"/>
        <c:axId val="314418800"/>
      </c:barChart>
      <c:catAx>
        <c:axId val="314418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4418800"/>
        <c:crosses val="autoZero"/>
        <c:auto val="1"/>
        <c:lblAlgn val="ctr"/>
        <c:lblOffset val="100"/>
        <c:noMultiLvlLbl val="0"/>
      </c:catAx>
      <c:valAx>
        <c:axId val="3144188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44182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Calculations!$E$3</c:f>
              <c:strCache>
                <c:ptCount val="1"/>
                <c:pt idx="0">
                  <c:v>…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Calculations!$H$10:$H$30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B0-4133-B5A8-E22DE230C9FC}"/>
            </c:ext>
          </c:extLst>
        </c:ser>
        <c:ser>
          <c:idx val="1"/>
          <c:order val="1"/>
          <c:tx>
            <c:strRef>
              <c:f>Calculations!$J$3</c:f>
              <c:strCache>
                <c:ptCount val="1"/>
                <c:pt idx="0">
                  <c:v>…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Calculations!$M$10:$M$30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B0-4133-B5A8-E22DE230C9FC}"/>
            </c:ext>
          </c:extLst>
        </c:ser>
        <c:ser>
          <c:idx val="2"/>
          <c:order val="2"/>
          <c:tx>
            <c:strRef>
              <c:f>Calculations!$O$3</c:f>
              <c:strCache>
                <c:ptCount val="1"/>
                <c:pt idx="0">
                  <c:v>…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Calculations!$R$10:$R$30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B0-4133-B5A8-E22DE230C9FC}"/>
            </c:ext>
          </c:extLst>
        </c:ser>
        <c:ser>
          <c:idx val="3"/>
          <c:order val="3"/>
          <c:tx>
            <c:strRef>
              <c:f>Calculations!$T$3</c:f>
              <c:strCache>
                <c:ptCount val="1"/>
                <c:pt idx="0">
                  <c:v>…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Calculations!$W$10:$W$30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B0-4133-B5A8-E22DE230C9FC}"/>
            </c:ext>
          </c:extLst>
        </c:ser>
        <c:ser>
          <c:idx val="4"/>
          <c:order val="4"/>
          <c:tx>
            <c:strRef>
              <c:f>Calculations!$Y$3</c:f>
              <c:strCache>
                <c:ptCount val="1"/>
                <c:pt idx="0">
                  <c:v>…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Calculations!$AB$10:$AB$30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B0-4133-B5A8-E22DE230C9FC}"/>
            </c:ext>
          </c:extLst>
        </c:ser>
        <c:ser>
          <c:idx val="5"/>
          <c:order val="5"/>
          <c:tx>
            <c:strRef>
              <c:f>Calculations!$AD$3</c:f>
              <c:strCache>
                <c:ptCount val="1"/>
                <c:pt idx="0">
                  <c:v>…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  <c:pt idx="9">
                  <c:v>2250</c:v>
                </c:pt>
                <c:pt idx="10">
                  <c:v>2500</c:v>
                </c:pt>
                <c:pt idx="11">
                  <c:v>2750</c:v>
                </c:pt>
                <c:pt idx="12">
                  <c:v>3000</c:v>
                </c:pt>
                <c:pt idx="13">
                  <c:v>3250</c:v>
                </c:pt>
                <c:pt idx="14">
                  <c:v>3500</c:v>
                </c:pt>
                <c:pt idx="15">
                  <c:v>3750</c:v>
                </c:pt>
                <c:pt idx="16">
                  <c:v>4000</c:v>
                </c:pt>
                <c:pt idx="17">
                  <c:v>4250</c:v>
                </c:pt>
                <c:pt idx="18">
                  <c:v>4500</c:v>
                </c:pt>
                <c:pt idx="19">
                  <c:v>4750</c:v>
                </c:pt>
                <c:pt idx="20">
                  <c:v>5000</c:v>
                </c:pt>
              </c:numCache>
            </c:numRef>
          </c:cat>
          <c:val>
            <c:numRef>
              <c:f>Calculations!$AG$10:$AG$30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0B0-4133-B5A8-E22DE230C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4424400"/>
        <c:axId val="314424960"/>
      </c:barChart>
      <c:catAx>
        <c:axId val="314424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14424960"/>
        <c:crosses val="autoZero"/>
        <c:auto val="1"/>
        <c:lblAlgn val="ctr"/>
        <c:lblOffset val="100"/>
        <c:noMultiLvlLbl val="0"/>
      </c:catAx>
      <c:valAx>
        <c:axId val="314424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44244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11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300036</xdr:colOff>
      <xdr:row>3</xdr:row>
      <xdr:rowOff>38099</xdr:rowOff>
    </xdr:from>
    <xdr:to>
      <xdr:col>9</xdr:col>
      <xdr:colOff>171449</xdr:colOff>
      <xdr:row>20</xdr:row>
      <xdr:rowOff>123824</xdr:rowOff>
    </xdr:to>
    <xdr:graphicFrame macro="">
      <xdr:nvGraphicFramePr>
        <xdr:cNvPr id="2" name="=A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3</xdr:row>
      <xdr:rowOff>38100</xdr:rowOff>
    </xdr:from>
    <xdr:to>
      <xdr:col>18</xdr:col>
      <xdr:colOff>109538</xdr:colOff>
      <xdr:row>20</xdr:row>
      <xdr:rowOff>123825</xdr:rowOff>
    </xdr:to>
    <xdr:graphicFrame macro="">
      <xdr:nvGraphicFramePr>
        <xdr:cNvPr id="3" name="=A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314325</xdr:colOff>
      <xdr:row>21</xdr:row>
      <xdr:rowOff>9525</xdr:rowOff>
    </xdr:from>
    <xdr:to>
      <xdr:col>9</xdr:col>
      <xdr:colOff>185738</xdr:colOff>
      <xdr:row>38</xdr:row>
      <xdr:rowOff>95250</xdr:rowOff>
    </xdr:to>
    <xdr:graphicFrame macro="">
      <xdr:nvGraphicFramePr>
        <xdr:cNvPr id="4" name="=A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238125</xdr:colOff>
      <xdr:row>21</xdr:row>
      <xdr:rowOff>9525</xdr:rowOff>
    </xdr:from>
    <xdr:to>
      <xdr:col>18</xdr:col>
      <xdr:colOff>109538</xdr:colOff>
      <xdr:row>38</xdr:row>
      <xdr:rowOff>95250</xdr:rowOff>
    </xdr:to>
    <xdr:graphicFrame macro="">
      <xdr:nvGraphicFramePr>
        <xdr:cNvPr id="7" name="=A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342900</xdr:colOff>
      <xdr:row>39</xdr:row>
      <xdr:rowOff>9525</xdr:rowOff>
    </xdr:from>
    <xdr:to>
      <xdr:col>9</xdr:col>
      <xdr:colOff>214313</xdr:colOff>
      <xdr:row>56</xdr:row>
      <xdr:rowOff>95250</xdr:rowOff>
    </xdr:to>
    <xdr:graphicFrame macro="">
      <xdr:nvGraphicFramePr>
        <xdr:cNvPr id="8" name="=A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247650</xdr:colOff>
      <xdr:row>39</xdr:row>
      <xdr:rowOff>0</xdr:rowOff>
    </xdr:from>
    <xdr:to>
      <xdr:col>18</xdr:col>
      <xdr:colOff>119063</xdr:colOff>
      <xdr:row>56</xdr:row>
      <xdr:rowOff>85725</xdr:rowOff>
    </xdr:to>
    <xdr:graphicFrame macro="">
      <xdr:nvGraphicFramePr>
        <xdr:cNvPr id="9" name="=A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G5"/>
  <sheetViews>
    <sheetView tabSelected="1" topLeftCell="D1" workbookViewId="0">
      <selection activeCell="E5" sqref="E5"/>
    </sheetView>
  </sheetViews>
  <sheetFormatPr defaultRowHeight="15" x14ac:dyDescent="0.25"/>
  <cols>
    <col min="1" max="3" width="9.140625" hidden="1" customWidth="1"/>
  </cols>
  <sheetData>
    <row r="2" spans="5:33" ht="15.75" thickBot="1" x14ac:dyDescent="0.3">
      <c r="E2" s="3" t="s">
        <v>0</v>
      </c>
      <c r="F2" s="3"/>
      <c r="G2" s="3"/>
      <c r="H2" s="3"/>
      <c r="J2" s="3" t="s">
        <v>0</v>
      </c>
      <c r="K2" s="3"/>
      <c r="L2" s="3"/>
      <c r="M2" s="3"/>
      <c r="O2" s="3" t="s">
        <v>0</v>
      </c>
      <c r="P2" s="3"/>
      <c r="Q2" s="3"/>
      <c r="R2" s="3"/>
      <c r="T2" s="3" t="s">
        <v>0</v>
      </c>
      <c r="U2" s="3"/>
      <c r="V2" s="3"/>
      <c r="W2" s="3"/>
      <c r="Y2" s="3" t="s">
        <v>0</v>
      </c>
      <c r="Z2" s="3"/>
      <c r="AA2" s="3"/>
      <c r="AB2" s="3"/>
      <c r="AD2" s="3" t="s">
        <v>0</v>
      </c>
      <c r="AE2" s="3"/>
      <c r="AF2" s="3"/>
      <c r="AG2" s="3"/>
    </row>
    <row r="3" spans="5:33" ht="15.75" thickBot="1" x14ac:dyDescent="0.3">
      <c r="E3" s="4" t="s">
        <v>9</v>
      </c>
      <c r="F3" s="5"/>
      <c r="G3" s="5"/>
      <c r="H3" s="6"/>
      <c r="J3" s="4" t="s">
        <v>9</v>
      </c>
      <c r="K3" s="5"/>
      <c r="L3" s="5"/>
      <c r="M3" s="6"/>
      <c r="O3" s="4" t="s">
        <v>9</v>
      </c>
      <c r="P3" s="5"/>
      <c r="Q3" s="5"/>
      <c r="R3" s="6"/>
      <c r="T3" s="4" t="s">
        <v>9</v>
      </c>
      <c r="U3" s="5"/>
      <c r="V3" s="5"/>
      <c r="W3" s="6"/>
      <c r="Y3" s="4" t="s">
        <v>9</v>
      </c>
      <c r="Z3" s="5"/>
      <c r="AA3" s="5"/>
      <c r="AB3" s="6"/>
      <c r="AD3" s="4" t="s">
        <v>9</v>
      </c>
      <c r="AE3" s="5"/>
      <c r="AF3" s="5"/>
      <c r="AG3" s="6"/>
    </row>
    <row r="5" spans="5:33" x14ac:dyDescent="0.25">
      <c r="E5" t="s">
        <v>1</v>
      </c>
      <c r="J5" t="s">
        <v>1</v>
      </c>
      <c r="O5" t="s">
        <v>1</v>
      </c>
      <c r="T5" t="s">
        <v>1</v>
      </c>
      <c r="Y5" t="s">
        <v>1</v>
      </c>
      <c r="AD5" t="s">
        <v>1</v>
      </c>
    </row>
  </sheetData>
  <mergeCells count="12">
    <mergeCell ref="E3:H3"/>
    <mergeCell ref="E2:H2"/>
    <mergeCell ref="J2:M2"/>
    <mergeCell ref="J3:M3"/>
    <mergeCell ref="O2:R2"/>
    <mergeCell ref="O3:R3"/>
    <mergeCell ref="T2:W2"/>
    <mergeCell ref="T3:W3"/>
    <mergeCell ref="Y2:AB2"/>
    <mergeCell ref="Y3:AB3"/>
    <mergeCell ref="AD2:AG2"/>
    <mergeCell ref="AD3:AG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G40"/>
  <sheetViews>
    <sheetView topLeftCell="D1" workbookViewId="0">
      <selection activeCell="E10" sqref="E10"/>
    </sheetView>
  </sheetViews>
  <sheetFormatPr defaultRowHeight="15" x14ac:dyDescent="0.25"/>
  <cols>
    <col min="1" max="3" width="9.140625" hidden="1" customWidth="1"/>
  </cols>
  <sheetData>
    <row r="2" spans="1:33" ht="15.75" thickBot="1" x14ac:dyDescent="0.3">
      <c r="E2" s="3" t="s">
        <v>0</v>
      </c>
      <c r="F2" s="3"/>
      <c r="G2" s="3"/>
      <c r="H2" s="3"/>
      <c r="J2" s="3" t="s">
        <v>0</v>
      </c>
      <c r="K2" s="3"/>
      <c r="L2" s="3"/>
      <c r="M2" s="3"/>
      <c r="O2" s="3" t="s">
        <v>0</v>
      </c>
      <c r="P2" s="3"/>
      <c r="Q2" s="3"/>
      <c r="R2" s="3"/>
      <c r="T2" s="3" t="s">
        <v>0</v>
      </c>
      <c r="U2" s="3"/>
      <c r="V2" s="3"/>
      <c r="W2" s="3"/>
      <c r="Y2" s="3" t="s">
        <v>0</v>
      </c>
      <c r="Z2" s="3"/>
      <c r="AA2" s="3"/>
      <c r="AB2" s="3"/>
      <c r="AD2" s="3" t="s">
        <v>0</v>
      </c>
      <c r="AE2" s="3"/>
      <c r="AF2" s="3"/>
      <c r="AG2" s="3"/>
    </row>
    <row r="3" spans="1:33" ht="15.75" thickBot="1" x14ac:dyDescent="0.3">
      <c r="E3" s="4" t="str">
        <f>Input!E3</f>
        <v>…</v>
      </c>
      <c r="F3" s="5"/>
      <c r="G3" s="5"/>
      <c r="H3" s="6"/>
      <c r="J3" s="4" t="str">
        <f>Input!J3</f>
        <v>…</v>
      </c>
      <c r="K3" s="5"/>
      <c r="L3" s="5"/>
      <c r="M3" s="6"/>
      <c r="O3" s="4" t="str">
        <f>Input!O3</f>
        <v>…</v>
      </c>
      <c r="P3" s="5"/>
      <c r="Q3" s="5"/>
      <c r="R3" s="6"/>
      <c r="T3" s="4" t="str">
        <f>Input!T3</f>
        <v>…</v>
      </c>
      <c r="U3" s="5"/>
      <c r="V3" s="5"/>
      <c r="W3" s="6"/>
      <c r="Y3" s="4" t="str">
        <f>Input!Y3</f>
        <v>…</v>
      </c>
      <c r="Z3" s="5"/>
      <c r="AA3" s="5"/>
      <c r="AB3" s="6"/>
      <c r="AD3" s="4" t="str">
        <f>Input!AD3</f>
        <v>…</v>
      </c>
      <c r="AE3" s="5"/>
      <c r="AF3" s="5"/>
      <c r="AG3" s="6"/>
    </row>
    <row r="5" spans="1:33" x14ac:dyDescent="0.25">
      <c r="E5" s="1" t="s">
        <v>2</v>
      </c>
      <c r="F5" s="1" t="s">
        <v>3</v>
      </c>
      <c r="G5" s="1" t="s">
        <v>4</v>
      </c>
      <c r="H5" s="1" t="s">
        <v>7</v>
      </c>
      <c r="J5" s="1" t="s">
        <v>2</v>
      </c>
      <c r="K5" s="1" t="s">
        <v>3</v>
      </c>
      <c r="L5" s="1" t="s">
        <v>4</v>
      </c>
      <c r="M5" s="1" t="s">
        <v>7</v>
      </c>
      <c r="O5" s="1" t="s">
        <v>2</v>
      </c>
      <c r="P5" s="1" t="s">
        <v>3</v>
      </c>
      <c r="Q5" s="1" t="s">
        <v>4</v>
      </c>
      <c r="R5" s="1" t="s">
        <v>7</v>
      </c>
      <c r="T5" s="1" t="s">
        <v>2</v>
      </c>
      <c r="U5" s="1" t="s">
        <v>3</v>
      </c>
      <c r="V5" s="1" t="s">
        <v>4</v>
      </c>
      <c r="W5" s="1" t="s">
        <v>7</v>
      </c>
      <c r="Y5" s="1" t="s">
        <v>2</v>
      </c>
      <c r="Z5" s="1" t="s">
        <v>3</v>
      </c>
      <c r="AA5" s="1" t="s">
        <v>4</v>
      </c>
      <c r="AB5" s="1" t="s">
        <v>7</v>
      </c>
      <c r="AD5" s="1" t="s">
        <v>2</v>
      </c>
      <c r="AE5" s="1" t="s">
        <v>3</v>
      </c>
      <c r="AF5" s="1" t="s">
        <v>4</v>
      </c>
      <c r="AG5" s="1" t="s">
        <v>7</v>
      </c>
    </row>
    <row r="6" spans="1:33" x14ac:dyDescent="0.25">
      <c r="D6" t="s">
        <v>5</v>
      </c>
      <c r="E6">
        <f>MIN(Input!F13:F1012)</f>
        <v>0</v>
      </c>
      <c r="F6">
        <f>MIN(Input!G13:G1012)</f>
        <v>0</v>
      </c>
      <c r="G6">
        <f>MIN(Input!H13:H1012)</f>
        <v>0</v>
      </c>
      <c r="H6">
        <f>MIN(Input!F13:H1012)</f>
        <v>0</v>
      </c>
      <c r="J6">
        <f>MIN(Input!K13:K1012)</f>
        <v>0</v>
      </c>
      <c r="K6">
        <f>MIN(Input!L13:L1012)</f>
        <v>0</v>
      </c>
      <c r="L6">
        <f>MIN(Input!M13:M1012)</f>
        <v>0</v>
      </c>
      <c r="M6">
        <f>MIN(Input!K13:M1012)</f>
        <v>0</v>
      </c>
      <c r="O6">
        <f>MIN(Input!P13:P1012)</f>
        <v>0</v>
      </c>
      <c r="P6">
        <f>MIN(Input!Q13:Q1012)</f>
        <v>0</v>
      </c>
      <c r="Q6">
        <f>MIN(Input!R13:R1012)</f>
        <v>0</v>
      </c>
      <c r="R6">
        <f>MIN(Input!P13:R1012)</f>
        <v>0</v>
      </c>
      <c r="T6">
        <f>MIN(Input!U13:U1012)</f>
        <v>0</v>
      </c>
      <c r="U6">
        <f>MIN(Input!V13:V1012)</f>
        <v>0</v>
      </c>
      <c r="V6">
        <f>MIN(Input!W13:W1012)</f>
        <v>0</v>
      </c>
      <c r="W6">
        <f>MIN(Input!U13:W1012)</f>
        <v>0</v>
      </c>
      <c r="Y6">
        <f>MIN(Input!Z13:Z1012)</f>
        <v>0</v>
      </c>
      <c r="Z6">
        <f>MIN(Input!AA13:AA1012)</f>
        <v>0</v>
      </c>
      <c r="AA6">
        <f>MIN(Input!AB13:AB1012)</f>
        <v>0</v>
      </c>
      <c r="AB6">
        <f>MIN(Input!Z13:AB1012)</f>
        <v>0</v>
      </c>
      <c r="AD6">
        <f>MIN(Input!AE13:AE1012)</f>
        <v>0</v>
      </c>
      <c r="AE6">
        <f>MIN(Input!AF13:AF1012)</f>
        <v>0</v>
      </c>
      <c r="AF6">
        <f>MIN(Input!AG13:AG1012)</f>
        <v>0</v>
      </c>
      <c r="AG6">
        <f>MIN(Input!AE13:AG1012)</f>
        <v>0</v>
      </c>
    </row>
    <row r="7" spans="1:33" x14ac:dyDescent="0.25">
      <c r="D7" t="s">
        <v>6</v>
      </c>
      <c r="E7">
        <f>MAX(Input!F13:F1012)</f>
        <v>0</v>
      </c>
      <c r="F7">
        <f>MAX(Input!G13:G1012)</f>
        <v>0</v>
      </c>
      <c r="G7">
        <f>MAX(Input!H13:H1012)</f>
        <v>0</v>
      </c>
      <c r="H7">
        <f>MAX(Input!F13:H1012)</f>
        <v>0</v>
      </c>
      <c r="J7">
        <f>MAX(Input!K13:K1012)</f>
        <v>0</v>
      </c>
      <c r="K7">
        <f>MAX(Input!L13:L1012)</f>
        <v>0</v>
      </c>
      <c r="L7">
        <f>MAX(Input!M13:M1012)</f>
        <v>0</v>
      </c>
      <c r="M7">
        <f>MAX(Input!K13:M1012)</f>
        <v>0</v>
      </c>
      <c r="O7">
        <f>MAX(Input!P13:P1012)</f>
        <v>0</v>
      </c>
      <c r="P7">
        <f>MAX(Input!Q13:Q1012)</f>
        <v>0</v>
      </c>
      <c r="Q7">
        <f>MAX(Input!R13:R1012)</f>
        <v>0</v>
      </c>
      <c r="R7">
        <f>MAX(Input!P13:R1012)</f>
        <v>0</v>
      </c>
      <c r="T7">
        <f>MAX(Input!U13:U1012)</f>
        <v>0</v>
      </c>
      <c r="U7">
        <f>MAX(Input!V13:V1012)</f>
        <v>0</v>
      </c>
      <c r="V7">
        <f>MAX(Input!W13:W1012)</f>
        <v>0</v>
      </c>
      <c r="W7">
        <f>MAX(Input!U13:W1012)</f>
        <v>0</v>
      </c>
      <c r="Y7">
        <f>MAX(Input!Z13:Z1012)</f>
        <v>0</v>
      </c>
      <c r="Z7">
        <f>MAX(Input!AA13:AA1012)</f>
        <v>0</v>
      </c>
      <c r="AA7">
        <f>MAX(Input!AB13:AB1012)</f>
        <v>0</v>
      </c>
      <c r="AB7">
        <f>MAX(Input!Z13:AB1012)</f>
        <v>0</v>
      </c>
      <c r="AD7">
        <f>MAX(Input!AE13:AE1012)</f>
        <v>0</v>
      </c>
      <c r="AE7">
        <f>MAX(Input!AF13:AF1012)</f>
        <v>0</v>
      </c>
      <c r="AF7">
        <f>MAX(Input!AG13:AG1012)</f>
        <v>0</v>
      </c>
      <c r="AG7">
        <f>MAX(Input!AE13:AG1012)</f>
        <v>0</v>
      </c>
    </row>
    <row r="8" spans="1:33" x14ac:dyDescent="0.25">
      <c r="D8" t="s">
        <v>8</v>
      </c>
      <c r="E8" t="e">
        <f>AVERAGE(Input!F13:F1012)</f>
        <v>#DIV/0!</v>
      </c>
      <c r="F8" t="e">
        <f>AVERAGE(Input!G13:G1012)</f>
        <v>#DIV/0!</v>
      </c>
      <c r="G8" t="e">
        <f>AVERAGE(Input!H13:H1012)</f>
        <v>#DIV/0!</v>
      </c>
      <c r="H8" t="e">
        <f>AVERAGE(Input!F13:H1012)</f>
        <v>#DIV/0!</v>
      </c>
      <c r="J8" t="e">
        <f>AVERAGE(Input!K13:K1012)</f>
        <v>#DIV/0!</v>
      </c>
      <c r="K8" t="e">
        <f>AVERAGE(Input!L13:L1012)</f>
        <v>#DIV/0!</v>
      </c>
      <c r="L8" t="e">
        <f>AVERAGE(Input!M13:M1012)</f>
        <v>#DIV/0!</v>
      </c>
      <c r="M8" t="e">
        <f>AVERAGE(Input!K13:M1012)</f>
        <v>#DIV/0!</v>
      </c>
      <c r="O8" t="e">
        <f>AVERAGE(Input!P13:P1012)</f>
        <v>#DIV/0!</v>
      </c>
      <c r="P8" t="e">
        <f>AVERAGE(Input!Q13:Q1012)</f>
        <v>#DIV/0!</v>
      </c>
      <c r="Q8" t="e">
        <f>AVERAGE(Input!R13:R1012)</f>
        <v>#DIV/0!</v>
      </c>
      <c r="R8" t="e">
        <f>AVERAGE(Input!P13:R1012)</f>
        <v>#DIV/0!</v>
      </c>
      <c r="T8" t="e">
        <f>AVERAGE(Input!U13:U1012)</f>
        <v>#DIV/0!</v>
      </c>
      <c r="U8" t="e">
        <f>AVERAGE(Input!V13:V1012)</f>
        <v>#DIV/0!</v>
      </c>
      <c r="V8" t="e">
        <f>AVERAGE(Input!W13:W1012)</f>
        <v>#DIV/0!</v>
      </c>
      <c r="W8" t="e">
        <f>AVERAGE(Input!U13:W1012)</f>
        <v>#DIV/0!</v>
      </c>
      <c r="Y8" t="e">
        <f>AVERAGE(Input!Z13:Z1012)</f>
        <v>#DIV/0!</v>
      </c>
      <c r="Z8" t="e">
        <f>AVERAGE(Input!AA13:AA1012)</f>
        <v>#DIV/0!</v>
      </c>
      <c r="AA8" t="e">
        <f>AVERAGE(Input!AB13:AB1012)</f>
        <v>#DIV/0!</v>
      </c>
      <c r="AB8" t="e">
        <f>AVERAGE(Input!Z13:AB1012)</f>
        <v>#DIV/0!</v>
      </c>
      <c r="AD8" t="e">
        <f>AVERAGE(Input!AE13:AE1012)</f>
        <v>#DIV/0!</v>
      </c>
      <c r="AE8" t="e">
        <f>AVERAGE(Input!AF13:AF1012)</f>
        <v>#DIV/0!</v>
      </c>
      <c r="AF8" t="e">
        <f>AVERAGE(Input!AG13:AG1012)</f>
        <v>#DIV/0!</v>
      </c>
      <c r="AG8" t="e">
        <f>AVERAGE(Input!AE13:AG1012)</f>
        <v>#DIV/0!</v>
      </c>
    </row>
    <row r="10" spans="1:33" x14ac:dyDescent="0.25">
      <c r="A10">
        <v>0</v>
      </c>
      <c r="D10">
        <v>0</v>
      </c>
      <c r="E10">
        <f t="array" ref="E10:E30">FREQUENCY(Input!F13:F1012,Calculations!$B$10:$B$30)</f>
        <v>0</v>
      </c>
      <c r="F10">
        <f t="array" ref="F10:F30">FREQUENCY(Input!G13:G1012,Calculations!$B$10:$B$30)</f>
        <v>0</v>
      </c>
      <c r="G10">
        <f t="array" ref="G10:G30">FREQUENCY(Input!H13:H1012,Calculations!$B$10:$B$30)</f>
        <v>0</v>
      </c>
      <c r="H10">
        <f>E10+F10+G10</f>
        <v>0</v>
      </c>
      <c r="J10">
        <f t="array" ref="J10:J30">FREQUENCY(Input!K13:K1012,Calculations!$B$10:$B$30)</f>
        <v>0</v>
      </c>
      <c r="K10">
        <f t="array" ref="K10:K30">FREQUENCY(Input!L13:L1012,Calculations!$B$10:$B$30)</f>
        <v>0</v>
      </c>
      <c r="L10">
        <f t="array" ref="L10:L30">FREQUENCY(Input!M13:M1012,Calculations!$B$10:$B$30)</f>
        <v>0</v>
      </c>
      <c r="M10">
        <f>J10+K10+L10</f>
        <v>0</v>
      </c>
      <c r="O10">
        <f t="array" ref="O10:O30">FREQUENCY(Input!P13:P1012,Calculations!$B$10:$B$30)</f>
        <v>0</v>
      </c>
      <c r="P10">
        <f t="array" ref="P10:P30">FREQUENCY(Input!Q13:Q1012,Calculations!$B$10:$B$30)</f>
        <v>0</v>
      </c>
      <c r="Q10">
        <f t="array" ref="Q10:Q30">FREQUENCY(Input!R13:R1012,Calculations!$B$10:$B$30)</f>
        <v>0</v>
      </c>
      <c r="R10">
        <f>O10+P10+Q10</f>
        <v>0</v>
      </c>
      <c r="T10">
        <f t="array" ref="T10:T30">FREQUENCY(Input!U13:U1012,Calculations!$B$10:$B$30)</f>
        <v>0</v>
      </c>
      <c r="U10">
        <f t="array" ref="U10:U30">FREQUENCY(Input!V13:V1012,Calculations!$B$10:$B$30)</f>
        <v>0</v>
      </c>
      <c r="V10">
        <f t="array" ref="V10:V30">FREQUENCY(Input!W13:W1012,Calculations!$B$10:$B$30)</f>
        <v>0</v>
      </c>
      <c r="W10">
        <f>T10+U10+V10</f>
        <v>0</v>
      </c>
      <c r="Y10">
        <f t="array" ref="Y10:Y30">FREQUENCY(Input!Z13:Z1012,Calculations!$B$10:$B$30)</f>
        <v>0</v>
      </c>
      <c r="Z10">
        <f t="array" ref="Z10:Z30">FREQUENCY(Input!AA13:AA1012,Calculations!$B$10:$B$30)</f>
        <v>0</v>
      </c>
      <c r="AA10">
        <f t="array" ref="AA10:AA30">FREQUENCY(Input!AB13:AB1012,Calculations!$B$10:$B$30)</f>
        <v>0</v>
      </c>
      <c r="AB10">
        <f>Y10+Z10+AA10</f>
        <v>0</v>
      </c>
      <c r="AD10">
        <f t="array" ref="AD10:AD30">FREQUENCY(Input!AE13:AE1012,Calculations!$B$10:$B$30)</f>
        <v>0</v>
      </c>
      <c r="AE10">
        <f t="array" ref="AE10:AE30">FREQUENCY(Input!AF13:AF1012,Calculations!$B$10:$B$30)</f>
        <v>0</v>
      </c>
      <c r="AF10">
        <f t="array" ref="AF10:AF30">FREQUENCY(Input!AG13:AG1012,Calculations!$B$10:$B$30)</f>
        <v>0</v>
      </c>
      <c r="AG10">
        <f>AD10+AE10+AF10</f>
        <v>0</v>
      </c>
    </row>
    <row r="11" spans="1:33" x14ac:dyDescent="0.25">
      <c r="A11">
        <v>0.05</v>
      </c>
      <c r="B11">
        <f>A11*Graphs!$D$2</f>
        <v>250</v>
      </c>
      <c r="D11">
        <f>B11</f>
        <v>250</v>
      </c>
      <c r="E11">
        <v>0</v>
      </c>
      <c r="F11">
        <v>0</v>
      </c>
      <c r="G11">
        <v>0</v>
      </c>
      <c r="H11">
        <f t="shared" ref="H11:H30" si="0">E11+F11+G11</f>
        <v>0</v>
      </c>
      <c r="J11">
        <v>0</v>
      </c>
      <c r="K11">
        <v>0</v>
      </c>
      <c r="L11">
        <v>0</v>
      </c>
      <c r="M11">
        <f t="shared" ref="M11:M30" si="1">J11+K11+L11</f>
        <v>0</v>
      </c>
      <c r="O11">
        <v>0</v>
      </c>
      <c r="P11">
        <v>0</v>
      </c>
      <c r="Q11">
        <v>0</v>
      </c>
      <c r="R11">
        <f t="shared" ref="R11:R30" si="2">O11+P11+Q11</f>
        <v>0</v>
      </c>
      <c r="T11">
        <v>0</v>
      </c>
      <c r="U11">
        <v>0</v>
      </c>
      <c r="V11">
        <v>0</v>
      </c>
      <c r="W11">
        <f t="shared" ref="W11:W30" si="3">T11+U11+V11</f>
        <v>0</v>
      </c>
      <c r="Y11">
        <v>0</v>
      </c>
      <c r="Z11">
        <v>0</v>
      </c>
      <c r="AA11">
        <v>0</v>
      </c>
      <c r="AB11">
        <f t="shared" ref="AB11:AB30" si="4">Y11+Z11+AA11</f>
        <v>0</v>
      </c>
      <c r="AD11">
        <v>0</v>
      </c>
      <c r="AE11">
        <v>0</v>
      </c>
      <c r="AF11">
        <v>0</v>
      </c>
      <c r="AG11">
        <f t="shared" ref="AG11:AG30" si="5">AD11+AE11+AF11</f>
        <v>0</v>
      </c>
    </row>
    <row r="12" spans="1:33" x14ac:dyDescent="0.25">
      <c r="A12">
        <v>0.1</v>
      </c>
      <c r="B12">
        <f>A12*Graphs!$D$2</f>
        <v>500</v>
      </c>
      <c r="D12">
        <f t="shared" ref="D12:D30" si="6">B12</f>
        <v>500</v>
      </c>
      <c r="E12">
        <v>0</v>
      </c>
      <c r="F12">
        <v>0</v>
      </c>
      <c r="G12">
        <v>0</v>
      </c>
      <c r="H12">
        <f t="shared" si="0"/>
        <v>0</v>
      </c>
      <c r="J12">
        <v>0</v>
      </c>
      <c r="K12">
        <v>0</v>
      </c>
      <c r="L12">
        <v>0</v>
      </c>
      <c r="M12">
        <f t="shared" si="1"/>
        <v>0</v>
      </c>
      <c r="O12">
        <v>0</v>
      </c>
      <c r="P12">
        <v>0</v>
      </c>
      <c r="Q12">
        <v>0</v>
      </c>
      <c r="R12">
        <f t="shared" si="2"/>
        <v>0</v>
      </c>
      <c r="T12">
        <v>0</v>
      </c>
      <c r="U12">
        <v>0</v>
      </c>
      <c r="V12">
        <v>0</v>
      </c>
      <c r="W12">
        <f t="shared" si="3"/>
        <v>0</v>
      </c>
      <c r="Y12">
        <v>0</v>
      </c>
      <c r="Z12">
        <v>0</v>
      </c>
      <c r="AA12">
        <v>0</v>
      </c>
      <c r="AB12">
        <f t="shared" si="4"/>
        <v>0</v>
      </c>
      <c r="AD12">
        <v>0</v>
      </c>
      <c r="AE12">
        <v>0</v>
      </c>
      <c r="AF12">
        <v>0</v>
      </c>
      <c r="AG12">
        <f t="shared" si="5"/>
        <v>0</v>
      </c>
    </row>
    <row r="13" spans="1:33" x14ac:dyDescent="0.25">
      <c r="A13">
        <v>0.15</v>
      </c>
      <c r="B13">
        <f>A13*Graphs!$D$2</f>
        <v>750</v>
      </c>
      <c r="D13">
        <f t="shared" si="6"/>
        <v>750</v>
      </c>
      <c r="E13">
        <v>0</v>
      </c>
      <c r="F13">
        <v>0</v>
      </c>
      <c r="G13">
        <v>0</v>
      </c>
      <c r="H13">
        <f t="shared" si="0"/>
        <v>0</v>
      </c>
      <c r="J13">
        <v>0</v>
      </c>
      <c r="K13">
        <v>0</v>
      </c>
      <c r="L13">
        <v>0</v>
      </c>
      <c r="M13">
        <f t="shared" si="1"/>
        <v>0</v>
      </c>
      <c r="O13">
        <v>0</v>
      </c>
      <c r="P13">
        <v>0</v>
      </c>
      <c r="Q13">
        <v>0</v>
      </c>
      <c r="R13">
        <f t="shared" si="2"/>
        <v>0</v>
      </c>
      <c r="T13">
        <v>0</v>
      </c>
      <c r="U13">
        <v>0</v>
      </c>
      <c r="V13">
        <v>0</v>
      </c>
      <c r="W13">
        <f t="shared" si="3"/>
        <v>0</v>
      </c>
      <c r="Y13">
        <v>0</v>
      </c>
      <c r="Z13">
        <v>0</v>
      </c>
      <c r="AA13">
        <v>0</v>
      </c>
      <c r="AB13">
        <f t="shared" si="4"/>
        <v>0</v>
      </c>
      <c r="AD13">
        <v>0</v>
      </c>
      <c r="AE13">
        <v>0</v>
      </c>
      <c r="AF13">
        <v>0</v>
      </c>
      <c r="AG13">
        <f t="shared" si="5"/>
        <v>0</v>
      </c>
    </row>
    <row r="14" spans="1:33" x14ac:dyDescent="0.25">
      <c r="A14">
        <v>0.2</v>
      </c>
      <c r="B14">
        <f>A14*Graphs!$D$2</f>
        <v>1000</v>
      </c>
      <c r="D14">
        <f t="shared" si="6"/>
        <v>1000</v>
      </c>
      <c r="E14">
        <v>0</v>
      </c>
      <c r="F14">
        <v>0</v>
      </c>
      <c r="G14">
        <v>0</v>
      </c>
      <c r="H14">
        <f t="shared" si="0"/>
        <v>0</v>
      </c>
      <c r="J14">
        <v>0</v>
      </c>
      <c r="K14">
        <v>0</v>
      </c>
      <c r="L14">
        <v>0</v>
      </c>
      <c r="M14">
        <f t="shared" si="1"/>
        <v>0</v>
      </c>
      <c r="O14">
        <v>0</v>
      </c>
      <c r="P14">
        <v>0</v>
      </c>
      <c r="Q14">
        <v>0</v>
      </c>
      <c r="R14">
        <f t="shared" si="2"/>
        <v>0</v>
      </c>
      <c r="T14">
        <v>0</v>
      </c>
      <c r="U14">
        <v>0</v>
      </c>
      <c r="V14">
        <v>0</v>
      </c>
      <c r="W14">
        <f t="shared" si="3"/>
        <v>0</v>
      </c>
      <c r="Y14">
        <v>0</v>
      </c>
      <c r="Z14">
        <v>0</v>
      </c>
      <c r="AA14">
        <v>0</v>
      </c>
      <c r="AB14">
        <f t="shared" si="4"/>
        <v>0</v>
      </c>
      <c r="AD14">
        <v>0</v>
      </c>
      <c r="AE14">
        <v>0</v>
      </c>
      <c r="AF14">
        <v>0</v>
      </c>
      <c r="AG14">
        <f t="shared" si="5"/>
        <v>0</v>
      </c>
    </row>
    <row r="15" spans="1:33" x14ac:dyDescent="0.25">
      <c r="A15">
        <v>0.25</v>
      </c>
      <c r="B15">
        <f>A15*Graphs!$D$2</f>
        <v>1250</v>
      </c>
      <c r="D15">
        <f t="shared" si="6"/>
        <v>1250</v>
      </c>
      <c r="E15">
        <v>0</v>
      </c>
      <c r="F15">
        <v>0</v>
      </c>
      <c r="G15">
        <v>0</v>
      </c>
      <c r="H15">
        <f t="shared" si="0"/>
        <v>0</v>
      </c>
      <c r="J15">
        <v>0</v>
      </c>
      <c r="K15">
        <v>0</v>
      </c>
      <c r="L15">
        <v>0</v>
      </c>
      <c r="M15">
        <f t="shared" si="1"/>
        <v>0</v>
      </c>
      <c r="O15">
        <v>0</v>
      </c>
      <c r="P15">
        <v>0</v>
      </c>
      <c r="Q15">
        <v>0</v>
      </c>
      <c r="R15">
        <f t="shared" si="2"/>
        <v>0</v>
      </c>
      <c r="T15">
        <v>0</v>
      </c>
      <c r="U15">
        <v>0</v>
      </c>
      <c r="V15">
        <v>0</v>
      </c>
      <c r="W15">
        <f t="shared" si="3"/>
        <v>0</v>
      </c>
      <c r="Y15">
        <v>0</v>
      </c>
      <c r="Z15">
        <v>0</v>
      </c>
      <c r="AA15">
        <v>0</v>
      </c>
      <c r="AB15">
        <f t="shared" si="4"/>
        <v>0</v>
      </c>
      <c r="AD15">
        <v>0</v>
      </c>
      <c r="AE15">
        <v>0</v>
      </c>
      <c r="AF15">
        <v>0</v>
      </c>
      <c r="AG15">
        <f t="shared" si="5"/>
        <v>0</v>
      </c>
    </row>
    <row r="16" spans="1:33" x14ac:dyDescent="0.25">
      <c r="A16">
        <v>0.3</v>
      </c>
      <c r="B16">
        <f>A16*Graphs!$D$2</f>
        <v>1500</v>
      </c>
      <c r="D16">
        <f t="shared" si="6"/>
        <v>1500</v>
      </c>
      <c r="E16">
        <v>0</v>
      </c>
      <c r="F16">
        <v>0</v>
      </c>
      <c r="G16">
        <v>0</v>
      </c>
      <c r="H16">
        <f t="shared" si="0"/>
        <v>0</v>
      </c>
      <c r="J16">
        <v>0</v>
      </c>
      <c r="K16">
        <v>0</v>
      </c>
      <c r="L16">
        <v>0</v>
      </c>
      <c r="M16">
        <f t="shared" si="1"/>
        <v>0</v>
      </c>
      <c r="O16">
        <v>0</v>
      </c>
      <c r="P16">
        <v>0</v>
      </c>
      <c r="Q16">
        <v>0</v>
      </c>
      <c r="R16">
        <f t="shared" si="2"/>
        <v>0</v>
      </c>
      <c r="T16">
        <v>0</v>
      </c>
      <c r="U16">
        <v>0</v>
      </c>
      <c r="V16">
        <v>0</v>
      </c>
      <c r="W16">
        <f t="shared" si="3"/>
        <v>0</v>
      </c>
      <c r="Y16">
        <v>0</v>
      </c>
      <c r="Z16">
        <v>0</v>
      </c>
      <c r="AA16">
        <v>0</v>
      </c>
      <c r="AB16">
        <f t="shared" si="4"/>
        <v>0</v>
      </c>
      <c r="AD16">
        <v>0</v>
      </c>
      <c r="AE16">
        <v>0</v>
      </c>
      <c r="AF16">
        <v>0</v>
      </c>
      <c r="AG16">
        <f t="shared" si="5"/>
        <v>0</v>
      </c>
    </row>
    <row r="17" spans="1:33" x14ac:dyDescent="0.25">
      <c r="A17">
        <v>0.35</v>
      </c>
      <c r="B17">
        <f>A17*Graphs!$D$2</f>
        <v>1750</v>
      </c>
      <c r="D17">
        <f t="shared" si="6"/>
        <v>1750</v>
      </c>
      <c r="E17">
        <v>0</v>
      </c>
      <c r="F17">
        <v>0</v>
      </c>
      <c r="G17">
        <v>0</v>
      </c>
      <c r="H17">
        <f t="shared" si="0"/>
        <v>0</v>
      </c>
      <c r="J17">
        <v>0</v>
      </c>
      <c r="K17">
        <v>0</v>
      </c>
      <c r="L17">
        <v>0</v>
      </c>
      <c r="M17">
        <f t="shared" si="1"/>
        <v>0</v>
      </c>
      <c r="O17">
        <v>0</v>
      </c>
      <c r="P17">
        <v>0</v>
      </c>
      <c r="Q17">
        <v>0</v>
      </c>
      <c r="R17">
        <f t="shared" si="2"/>
        <v>0</v>
      </c>
      <c r="T17">
        <v>0</v>
      </c>
      <c r="U17">
        <v>0</v>
      </c>
      <c r="V17">
        <v>0</v>
      </c>
      <c r="W17">
        <f t="shared" si="3"/>
        <v>0</v>
      </c>
      <c r="Y17">
        <v>0</v>
      </c>
      <c r="Z17">
        <v>0</v>
      </c>
      <c r="AA17">
        <v>0</v>
      </c>
      <c r="AB17">
        <f t="shared" si="4"/>
        <v>0</v>
      </c>
      <c r="AD17">
        <v>0</v>
      </c>
      <c r="AE17">
        <v>0</v>
      </c>
      <c r="AF17">
        <v>0</v>
      </c>
      <c r="AG17">
        <f t="shared" si="5"/>
        <v>0</v>
      </c>
    </row>
    <row r="18" spans="1:33" x14ac:dyDescent="0.25">
      <c r="A18">
        <v>0.4</v>
      </c>
      <c r="B18">
        <f>A18*Graphs!$D$2</f>
        <v>2000</v>
      </c>
      <c r="D18">
        <f t="shared" si="6"/>
        <v>2000</v>
      </c>
      <c r="E18">
        <v>0</v>
      </c>
      <c r="F18">
        <v>0</v>
      </c>
      <c r="G18">
        <v>0</v>
      </c>
      <c r="H18">
        <f t="shared" si="0"/>
        <v>0</v>
      </c>
      <c r="J18">
        <v>0</v>
      </c>
      <c r="K18">
        <v>0</v>
      </c>
      <c r="L18">
        <v>0</v>
      </c>
      <c r="M18">
        <f t="shared" si="1"/>
        <v>0</v>
      </c>
      <c r="O18">
        <v>0</v>
      </c>
      <c r="P18">
        <v>0</v>
      </c>
      <c r="Q18">
        <v>0</v>
      </c>
      <c r="R18">
        <f t="shared" si="2"/>
        <v>0</v>
      </c>
      <c r="T18">
        <v>0</v>
      </c>
      <c r="U18">
        <v>0</v>
      </c>
      <c r="V18">
        <v>0</v>
      </c>
      <c r="W18">
        <f t="shared" si="3"/>
        <v>0</v>
      </c>
      <c r="Y18">
        <v>0</v>
      </c>
      <c r="Z18">
        <v>0</v>
      </c>
      <c r="AA18">
        <v>0</v>
      </c>
      <c r="AB18">
        <f t="shared" si="4"/>
        <v>0</v>
      </c>
      <c r="AD18">
        <v>0</v>
      </c>
      <c r="AE18">
        <v>0</v>
      </c>
      <c r="AF18">
        <v>0</v>
      </c>
      <c r="AG18">
        <f t="shared" si="5"/>
        <v>0</v>
      </c>
    </row>
    <row r="19" spans="1:33" x14ac:dyDescent="0.25">
      <c r="A19">
        <v>0.45</v>
      </c>
      <c r="B19">
        <f>A19*Graphs!$D$2</f>
        <v>2250</v>
      </c>
      <c r="D19">
        <f t="shared" si="6"/>
        <v>2250</v>
      </c>
      <c r="E19">
        <v>0</v>
      </c>
      <c r="F19">
        <v>0</v>
      </c>
      <c r="G19">
        <v>0</v>
      </c>
      <c r="H19">
        <f t="shared" si="0"/>
        <v>0</v>
      </c>
      <c r="J19">
        <v>0</v>
      </c>
      <c r="K19">
        <v>0</v>
      </c>
      <c r="L19">
        <v>0</v>
      </c>
      <c r="M19">
        <f t="shared" si="1"/>
        <v>0</v>
      </c>
      <c r="O19">
        <v>0</v>
      </c>
      <c r="P19">
        <v>0</v>
      </c>
      <c r="Q19">
        <v>0</v>
      </c>
      <c r="R19">
        <f t="shared" si="2"/>
        <v>0</v>
      </c>
      <c r="T19">
        <v>0</v>
      </c>
      <c r="U19">
        <v>0</v>
      </c>
      <c r="V19">
        <v>0</v>
      </c>
      <c r="W19">
        <f t="shared" si="3"/>
        <v>0</v>
      </c>
      <c r="Y19">
        <v>0</v>
      </c>
      <c r="Z19">
        <v>0</v>
      </c>
      <c r="AA19">
        <v>0</v>
      </c>
      <c r="AB19">
        <f t="shared" si="4"/>
        <v>0</v>
      </c>
      <c r="AD19">
        <v>0</v>
      </c>
      <c r="AE19">
        <v>0</v>
      </c>
      <c r="AF19">
        <v>0</v>
      </c>
      <c r="AG19">
        <f t="shared" si="5"/>
        <v>0</v>
      </c>
    </row>
    <row r="20" spans="1:33" x14ac:dyDescent="0.25">
      <c r="A20">
        <v>0.5</v>
      </c>
      <c r="B20">
        <f>A20*Graphs!$D$2</f>
        <v>2500</v>
      </c>
      <c r="D20">
        <f t="shared" si="6"/>
        <v>2500</v>
      </c>
      <c r="E20">
        <v>0</v>
      </c>
      <c r="F20">
        <v>0</v>
      </c>
      <c r="G20">
        <v>0</v>
      </c>
      <c r="H20">
        <f t="shared" si="0"/>
        <v>0</v>
      </c>
      <c r="J20">
        <v>0</v>
      </c>
      <c r="K20">
        <v>0</v>
      </c>
      <c r="L20">
        <v>0</v>
      </c>
      <c r="M20">
        <f t="shared" si="1"/>
        <v>0</v>
      </c>
      <c r="O20">
        <v>0</v>
      </c>
      <c r="P20">
        <v>0</v>
      </c>
      <c r="Q20">
        <v>0</v>
      </c>
      <c r="R20">
        <f t="shared" si="2"/>
        <v>0</v>
      </c>
      <c r="T20">
        <v>0</v>
      </c>
      <c r="U20">
        <v>0</v>
      </c>
      <c r="V20">
        <v>0</v>
      </c>
      <c r="W20">
        <f t="shared" si="3"/>
        <v>0</v>
      </c>
      <c r="Y20">
        <v>0</v>
      </c>
      <c r="Z20">
        <v>0</v>
      </c>
      <c r="AA20">
        <v>0</v>
      </c>
      <c r="AB20">
        <f t="shared" si="4"/>
        <v>0</v>
      </c>
      <c r="AD20">
        <v>0</v>
      </c>
      <c r="AE20">
        <v>0</v>
      </c>
      <c r="AF20">
        <v>0</v>
      </c>
      <c r="AG20">
        <f t="shared" si="5"/>
        <v>0</v>
      </c>
    </row>
    <row r="21" spans="1:33" x14ac:dyDescent="0.25">
      <c r="A21">
        <v>0.55000000000000004</v>
      </c>
      <c r="B21">
        <f>A21*Graphs!$D$2</f>
        <v>2750</v>
      </c>
      <c r="D21">
        <f t="shared" si="6"/>
        <v>2750</v>
      </c>
      <c r="E21">
        <v>0</v>
      </c>
      <c r="F21">
        <v>0</v>
      </c>
      <c r="G21">
        <v>0</v>
      </c>
      <c r="H21">
        <f t="shared" si="0"/>
        <v>0</v>
      </c>
      <c r="J21">
        <v>0</v>
      </c>
      <c r="K21">
        <v>0</v>
      </c>
      <c r="L21">
        <v>0</v>
      </c>
      <c r="M21">
        <f t="shared" si="1"/>
        <v>0</v>
      </c>
      <c r="O21">
        <v>0</v>
      </c>
      <c r="P21">
        <v>0</v>
      </c>
      <c r="Q21">
        <v>0</v>
      </c>
      <c r="R21">
        <f t="shared" si="2"/>
        <v>0</v>
      </c>
      <c r="T21">
        <v>0</v>
      </c>
      <c r="U21">
        <v>0</v>
      </c>
      <c r="V21">
        <v>0</v>
      </c>
      <c r="W21">
        <f t="shared" si="3"/>
        <v>0</v>
      </c>
      <c r="Y21">
        <v>0</v>
      </c>
      <c r="Z21">
        <v>0</v>
      </c>
      <c r="AA21">
        <v>0</v>
      </c>
      <c r="AB21">
        <f t="shared" si="4"/>
        <v>0</v>
      </c>
      <c r="AD21">
        <v>0</v>
      </c>
      <c r="AE21">
        <v>0</v>
      </c>
      <c r="AF21">
        <v>0</v>
      </c>
      <c r="AG21">
        <f t="shared" si="5"/>
        <v>0</v>
      </c>
    </row>
    <row r="22" spans="1:33" x14ac:dyDescent="0.25">
      <c r="A22">
        <v>0.6</v>
      </c>
      <c r="B22">
        <f>A22*Graphs!$D$2</f>
        <v>3000</v>
      </c>
      <c r="D22">
        <f t="shared" si="6"/>
        <v>3000</v>
      </c>
      <c r="E22">
        <v>0</v>
      </c>
      <c r="F22">
        <v>0</v>
      </c>
      <c r="G22">
        <v>0</v>
      </c>
      <c r="H22">
        <f t="shared" si="0"/>
        <v>0</v>
      </c>
      <c r="J22">
        <v>0</v>
      </c>
      <c r="K22">
        <v>0</v>
      </c>
      <c r="L22">
        <v>0</v>
      </c>
      <c r="M22">
        <f t="shared" si="1"/>
        <v>0</v>
      </c>
      <c r="O22">
        <v>0</v>
      </c>
      <c r="P22">
        <v>0</v>
      </c>
      <c r="Q22">
        <v>0</v>
      </c>
      <c r="R22">
        <f t="shared" si="2"/>
        <v>0</v>
      </c>
      <c r="T22">
        <v>0</v>
      </c>
      <c r="U22">
        <v>0</v>
      </c>
      <c r="V22">
        <v>0</v>
      </c>
      <c r="W22">
        <f t="shared" si="3"/>
        <v>0</v>
      </c>
      <c r="Y22">
        <v>0</v>
      </c>
      <c r="Z22">
        <v>0</v>
      </c>
      <c r="AA22">
        <v>0</v>
      </c>
      <c r="AB22">
        <f t="shared" si="4"/>
        <v>0</v>
      </c>
      <c r="AD22">
        <v>0</v>
      </c>
      <c r="AE22">
        <v>0</v>
      </c>
      <c r="AF22">
        <v>0</v>
      </c>
      <c r="AG22">
        <f t="shared" si="5"/>
        <v>0</v>
      </c>
    </row>
    <row r="23" spans="1:33" x14ac:dyDescent="0.25">
      <c r="A23">
        <v>0.65</v>
      </c>
      <c r="B23">
        <f>A23*Graphs!$D$2</f>
        <v>3250</v>
      </c>
      <c r="D23">
        <f t="shared" si="6"/>
        <v>3250</v>
      </c>
      <c r="E23">
        <v>0</v>
      </c>
      <c r="F23">
        <v>0</v>
      </c>
      <c r="G23">
        <v>0</v>
      </c>
      <c r="H23">
        <f t="shared" si="0"/>
        <v>0</v>
      </c>
      <c r="J23">
        <v>0</v>
      </c>
      <c r="K23">
        <v>0</v>
      </c>
      <c r="L23">
        <v>0</v>
      </c>
      <c r="M23">
        <f t="shared" si="1"/>
        <v>0</v>
      </c>
      <c r="O23">
        <v>0</v>
      </c>
      <c r="P23">
        <v>0</v>
      </c>
      <c r="Q23">
        <v>0</v>
      </c>
      <c r="R23">
        <f t="shared" si="2"/>
        <v>0</v>
      </c>
      <c r="T23">
        <v>0</v>
      </c>
      <c r="U23">
        <v>0</v>
      </c>
      <c r="V23">
        <v>0</v>
      </c>
      <c r="W23">
        <f t="shared" si="3"/>
        <v>0</v>
      </c>
      <c r="Y23">
        <v>0</v>
      </c>
      <c r="Z23">
        <v>0</v>
      </c>
      <c r="AA23">
        <v>0</v>
      </c>
      <c r="AB23">
        <f t="shared" si="4"/>
        <v>0</v>
      </c>
      <c r="AD23">
        <v>0</v>
      </c>
      <c r="AE23">
        <v>0</v>
      </c>
      <c r="AF23">
        <v>0</v>
      </c>
      <c r="AG23">
        <f t="shared" si="5"/>
        <v>0</v>
      </c>
    </row>
    <row r="24" spans="1:33" x14ac:dyDescent="0.25">
      <c r="A24">
        <v>0.7</v>
      </c>
      <c r="B24">
        <f>A24*Graphs!$D$2</f>
        <v>3500</v>
      </c>
      <c r="D24">
        <f t="shared" si="6"/>
        <v>3500</v>
      </c>
      <c r="E24">
        <v>0</v>
      </c>
      <c r="F24">
        <v>0</v>
      </c>
      <c r="G24">
        <v>0</v>
      </c>
      <c r="H24">
        <f t="shared" si="0"/>
        <v>0</v>
      </c>
      <c r="J24">
        <v>0</v>
      </c>
      <c r="K24">
        <v>0</v>
      </c>
      <c r="L24">
        <v>0</v>
      </c>
      <c r="M24">
        <f t="shared" si="1"/>
        <v>0</v>
      </c>
      <c r="O24">
        <v>0</v>
      </c>
      <c r="P24">
        <v>0</v>
      </c>
      <c r="Q24">
        <v>0</v>
      </c>
      <c r="R24">
        <f t="shared" si="2"/>
        <v>0</v>
      </c>
      <c r="T24">
        <v>0</v>
      </c>
      <c r="U24">
        <v>0</v>
      </c>
      <c r="V24">
        <v>0</v>
      </c>
      <c r="W24">
        <f t="shared" si="3"/>
        <v>0</v>
      </c>
      <c r="Y24">
        <v>0</v>
      </c>
      <c r="Z24">
        <v>0</v>
      </c>
      <c r="AA24">
        <v>0</v>
      </c>
      <c r="AB24">
        <f t="shared" si="4"/>
        <v>0</v>
      </c>
      <c r="AD24">
        <v>0</v>
      </c>
      <c r="AE24">
        <v>0</v>
      </c>
      <c r="AF24">
        <v>0</v>
      </c>
      <c r="AG24">
        <f t="shared" si="5"/>
        <v>0</v>
      </c>
    </row>
    <row r="25" spans="1:33" x14ac:dyDescent="0.25">
      <c r="A25">
        <v>0.75</v>
      </c>
      <c r="B25">
        <f>A25*Graphs!$D$2</f>
        <v>3750</v>
      </c>
      <c r="D25">
        <f t="shared" si="6"/>
        <v>3750</v>
      </c>
      <c r="E25">
        <v>0</v>
      </c>
      <c r="F25">
        <v>0</v>
      </c>
      <c r="G25">
        <v>0</v>
      </c>
      <c r="H25">
        <f t="shared" si="0"/>
        <v>0</v>
      </c>
      <c r="J25">
        <v>0</v>
      </c>
      <c r="K25">
        <v>0</v>
      </c>
      <c r="L25">
        <v>0</v>
      </c>
      <c r="M25">
        <f t="shared" si="1"/>
        <v>0</v>
      </c>
      <c r="O25">
        <v>0</v>
      </c>
      <c r="P25">
        <v>0</v>
      </c>
      <c r="Q25">
        <v>0</v>
      </c>
      <c r="R25">
        <f t="shared" si="2"/>
        <v>0</v>
      </c>
      <c r="T25">
        <v>0</v>
      </c>
      <c r="U25">
        <v>0</v>
      </c>
      <c r="V25">
        <v>0</v>
      </c>
      <c r="W25">
        <f t="shared" si="3"/>
        <v>0</v>
      </c>
      <c r="Y25">
        <v>0</v>
      </c>
      <c r="Z25">
        <v>0</v>
      </c>
      <c r="AA25">
        <v>0</v>
      </c>
      <c r="AB25">
        <f t="shared" si="4"/>
        <v>0</v>
      </c>
      <c r="AD25">
        <v>0</v>
      </c>
      <c r="AE25">
        <v>0</v>
      </c>
      <c r="AF25">
        <v>0</v>
      </c>
      <c r="AG25">
        <f t="shared" si="5"/>
        <v>0</v>
      </c>
    </row>
    <row r="26" spans="1:33" x14ac:dyDescent="0.25">
      <c r="A26">
        <v>0.8</v>
      </c>
      <c r="B26">
        <f>A26*Graphs!$D$2</f>
        <v>4000</v>
      </c>
      <c r="D26">
        <f t="shared" si="6"/>
        <v>4000</v>
      </c>
      <c r="E26">
        <v>0</v>
      </c>
      <c r="F26">
        <v>0</v>
      </c>
      <c r="G26">
        <v>0</v>
      </c>
      <c r="H26">
        <f t="shared" si="0"/>
        <v>0</v>
      </c>
      <c r="J26">
        <v>0</v>
      </c>
      <c r="K26">
        <v>0</v>
      </c>
      <c r="L26">
        <v>0</v>
      </c>
      <c r="M26">
        <f t="shared" si="1"/>
        <v>0</v>
      </c>
      <c r="O26">
        <v>0</v>
      </c>
      <c r="P26">
        <v>0</v>
      </c>
      <c r="Q26">
        <v>0</v>
      </c>
      <c r="R26">
        <f t="shared" si="2"/>
        <v>0</v>
      </c>
      <c r="T26">
        <v>0</v>
      </c>
      <c r="U26">
        <v>0</v>
      </c>
      <c r="V26">
        <v>0</v>
      </c>
      <c r="W26">
        <f t="shared" si="3"/>
        <v>0</v>
      </c>
      <c r="Y26">
        <v>0</v>
      </c>
      <c r="Z26">
        <v>0</v>
      </c>
      <c r="AA26">
        <v>0</v>
      </c>
      <c r="AB26">
        <f t="shared" si="4"/>
        <v>0</v>
      </c>
      <c r="AD26">
        <v>0</v>
      </c>
      <c r="AE26">
        <v>0</v>
      </c>
      <c r="AF26">
        <v>0</v>
      </c>
      <c r="AG26">
        <f t="shared" si="5"/>
        <v>0</v>
      </c>
    </row>
    <row r="27" spans="1:33" x14ac:dyDescent="0.25">
      <c r="A27">
        <v>0.85</v>
      </c>
      <c r="B27">
        <f>A27*Graphs!$D$2</f>
        <v>4250</v>
      </c>
      <c r="D27">
        <f t="shared" si="6"/>
        <v>4250</v>
      </c>
      <c r="E27">
        <v>0</v>
      </c>
      <c r="F27">
        <v>0</v>
      </c>
      <c r="G27">
        <v>0</v>
      </c>
      <c r="H27">
        <f t="shared" si="0"/>
        <v>0</v>
      </c>
      <c r="J27">
        <v>0</v>
      </c>
      <c r="K27">
        <v>0</v>
      </c>
      <c r="L27">
        <v>0</v>
      </c>
      <c r="M27">
        <f t="shared" si="1"/>
        <v>0</v>
      </c>
      <c r="O27">
        <v>0</v>
      </c>
      <c r="P27">
        <v>0</v>
      </c>
      <c r="Q27">
        <v>0</v>
      </c>
      <c r="R27">
        <f t="shared" si="2"/>
        <v>0</v>
      </c>
      <c r="T27">
        <v>0</v>
      </c>
      <c r="U27">
        <v>0</v>
      </c>
      <c r="V27">
        <v>0</v>
      </c>
      <c r="W27">
        <f t="shared" si="3"/>
        <v>0</v>
      </c>
      <c r="Y27">
        <v>0</v>
      </c>
      <c r="Z27">
        <v>0</v>
      </c>
      <c r="AA27">
        <v>0</v>
      </c>
      <c r="AB27">
        <f t="shared" si="4"/>
        <v>0</v>
      </c>
      <c r="AD27">
        <v>0</v>
      </c>
      <c r="AE27">
        <v>0</v>
      </c>
      <c r="AF27">
        <v>0</v>
      </c>
      <c r="AG27">
        <f t="shared" si="5"/>
        <v>0</v>
      </c>
    </row>
    <row r="28" spans="1:33" x14ac:dyDescent="0.25">
      <c r="A28">
        <v>0.9</v>
      </c>
      <c r="B28">
        <f>A28*Graphs!$D$2</f>
        <v>4500</v>
      </c>
      <c r="D28">
        <f t="shared" si="6"/>
        <v>4500</v>
      </c>
      <c r="E28">
        <v>0</v>
      </c>
      <c r="F28">
        <v>0</v>
      </c>
      <c r="G28">
        <v>0</v>
      </c>
      <c r="H28">
        <f t="shared" si="0"/>
        <v>0</v>
      </c>
      <c r="J28">
        <v>0</v>
      </c>
      <c r="K28">
        <v>0</v>
      </c>
      <c r="L28">
        <v>0</v>
      </c>
      <c r="M28">
        <f t="shared" si="1"/>
        <v>0</v>
      </c>
      <c r="O28">
        <v>0</v>
      </c>
      <c r="P28">
        <v>0</v>
      </c>
      <c r="Q28">
        <v>0</v>
      </c>
      <c r="R28">
        <f t="shared" si="2"/>
        <v>0</v>
      </c>
      <c r="T28">
        <v>0</v>
      </c>
      <c r="U28">
        <v>0</v>
      </c>
      <c r="V28">
        <v>0</v>
      </c>
      <c r="W28">
        <f t="shared" si="3"/>
        <v>0</v>
      </c>
      <c r="Y28">
        <v>0</v>
      </c>
      <c r="Z28">
        <v>0</v>
      </c>
      <c r="AA28">
        <v>0</v>
      </c>
      <c r="AB28">
        <f t="shared" si="4"/>
        <v>0</v>
      </c>
      <c r="AD28">
        <v>0</v>
      </c>
      <c r="AE28">
        <v>0</v>
      </c>
      <c r="AF28">
        <v>0</v>
      </c>
      <c r="AG28">
        <f t="shared" si="5"/>
        <v>0</v>
      </c>
    </row>
    <row r="29" spans="1:33" x14ac:dyDescent="0.25">
      <c r="A29">
        <v>0.95</v>
      </c>
      <c r="B29">
        <f>A29*Graphs!$D$2</f>
        <v>4750</v>
      </c>
      <c r="D29">
        <f t="shared" si="6"/>
        <v>4750</v>
      </c>
      <c r="E29">
        <v>0</v>
      </c>
      <c r="F29">
        <v>0</v>
      </c>
      <c r="G29">
        <v>0</v>
      </c>
      <c r="H29">
        <f t="shared" si="0"/>
        <v>0</v>
      </c>
      <c r="J29">
        <v>0</v>
      </c>
      <c r="K29">
        <v>0</v>
      </c>
      <c r="L29">
        <v>0</v>
      </c>
      <c r="M29">
        <f t="shared" si="1"/>
        <v>0</v>
      </c>
      <c r="O29">
        <v>0</v>
      </c>
      <c r="P29">
        <v>0</v>
      </c>
      <c r="Q29">
        <v>0</v>
      </c>
      <c r="R29">
        <f t="shared" si="2"/>
        <v>0</v>
      </c>
      <c r="T29">
        <v>0</v>
      </c>
      <c r="U29">
        <v>0</v>
      </c>
      <c r="V29">
        <v>0</v>
      </c>
      <c r="W29">
        <f t="shared" si="3"/>
        <v>0</v>
      </c>
      <c r="Y29">
        <v>0</v>
      </c>
      <c r="Z29">
        <v>0</v>
      </c>
      <c r="AA29">
        <v>0</v>
      </c>
      <c r="AB29">
        <f t="shared" si="4"/>
        <v>0</v>
      </c>
      <c r="AD29">
        <v>0</v>
      </c>
      <c r="AE29">
        <v>0</v>
      </c>
      <c r="AF29">
        <v>0</v>
      </c>
      <c r="AG29">
        <f t="shared" si="5"/>
        <v>0</v>
      </c>
    </row>
    <row r="30" spans="1:33" x14ac:dyDescent="0.25">
      <c r="A30">
        <v>1</v>
      </c>
      <c r="B30">
        <f>A30*Graphs!$D$2</f>
        <v>5000</v>
      </c>
      <c r="D30">
        <f t="shared" si="6"/>
        <v>5000</v>
      </c>
      <c r="E30">
        <v>0</v>
      </c>
      <c r="F30">
        <v>0</v>
      </c>
      <c r="G30">
        <v>0</v>
      </c>
      <c r="H30">
        <f t="shared" si="0"/>
        <v>0</v>
      </c>
      <c r="J30">
        <v>0</v>
      </c>
      <c r="K30">
        <v>0</v>
      </c>
      <c r="L30">
        <v>0</v>
      </c>
      <c r="M30">
        <f t="shared" si="1"/>
        <v>0</v>
      </c>
      <c r="O30">
        <v>0</v>
      </c>
      <c r="P30">
        <v>0</v>
      </c>
      <c r="Q30">
        <v>0</v>
      </c>
      <c r="R30">
        <f t="shared" si="2"/>
        <v>0</v>
      </c>
      <c r="T30">
        <v>0</v>
      </c>
      <c r="U30">
        <v>0</v>
      </c>
      <c r="V30">
        <v>0</v>
      </c>
      <c r="W30">
        <f t="shared" si="3"/>
        <v>0</v>
      </c>
      <c r="Y30">
        <v>0</v>
      </c>
      <c r="Z30">
        <v>0</v>
      </c>
      <c r="AA30">
        <v>0</v>
      </c>
      <c r="AB30">
        <f t="shared" si="4"/>
        <v>0</v>
      </c>
      <c r="AD30">
        <v>0</v>
      </c>
      <c r="AE30">
        <v>0</v>
      </c>
      <c r="AF30">
        <v>0</v>
      </c>
      <c r="AG30">
        <f t="shared" si="5"/>
        <v>0</v>
      </c>
    </row>
    <row r="33" spans="1:1" x14ac:dyDescent="0.25">
      <c r="A33">
        <v>10</v>
      </c>
    </row>
    <row r="34" spans="1:1" x14ac:dyDescent="0.25">
      <c r="A34">
        <v>50</v>
      </c>
    </row>
    <row r="35" spans="1:1" x14ac:dyDescent="0.25">
      <c r="A35">
        <v>100</v>
      </c>
    </row>
    <row r="36" spans="1:1" x14ac:dyDescent="0.25">
      <c r="A36">
        <v>500</v>
      </c>
    </row>
    <row r="37" spans="1:1" x14ac:dyDescent="0.25">
      <c r="A37">
        <v>1000</v>
      </c>
    </row>
    <row r="38" spans="1:1" x14ac:dyDescent="0.25">
      <c r="A38">
        <v>5000</v>
      </c>
    </row>
    <row r="39" spans="1:1" x14ac:dyDescent="0.25">
      <c r="A39">
        <v>10000</v>
      </c>
    </row>
    <row r="40" spans="1:1" x14ac:dyDescent="0.25">
      <c r="A40">
        <v>50000</v>
      </c>
    </row>
  </sheetData>
  <sheetProtection sheet="1" objects="1" scenarios="1"/>
  <mergeCells count="12">
    <mergeCell ref="E2:H2"/>
    <mergeCell ref="E3:H3"/>
    <mergeCell ref="Y2:AB2"/>
    <mergeCell ref="Y3:AB3"/>
    <mergeCell ref="AD2:AG2"/>
    <mergeCell ref="AD3:AG3"/>
    <mergeCell ref="J2:M2"/>
    <mergeCell ref="J3:M3"/>
    <mergeCell ref="O2:R2"/>
    <mergeCell ref="O3:R3"/>
    <mergeCell ref="T2:W2"/>
    <mergeCell ref="T3:W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2"/>
  <sheetViews>
    <sheetView workbookViewId="0">
      <selection activeCell="F2" sqref="F2"/>
    </sheetView>
  </sheetViews>
  <sheetFormatPr defaultRowHeight="15" x14ac:dyDescent="0.25"/>
  <sheetData>
    <row r="1" spans="2:4" ht="15.75" thickBot="1" x14ac:dyDescent="0.3"/>
    <row r="2" spans="2:4" ht="15.75" thickBot="1" x14ac:dyDescent="0.3">
      <c r="B2" t="s">
        <v>10</v>
      </c>
      <c r="D2" s="2">
        <v>5000</v>
      </c>
    </row>
  </sheetData>
  <dataValidations count="1">
    <dataValidation type="whole" operator="greaterThan" allowBlank="1" showInputMessage="1" showErrorMessage="1" sqref="D2" xr:uid="{00000000-0002-0000-0200-000000000000}">
      <formula1>0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Input</vt:lpstr>
      <vt:lpstr>Calculations</vt:lpstr>
      <vt:lpstr>Graphs</vt:lpstr>
      <vt:lpstr>Compare</vt:lpstr>
    </vt:vector>
  </TitlesOfParts>
  <Company>Instittut for teknisk kybernetikk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Øyvind Netland</dc:creator>
  <cp:lastModifiedBy>Såvi Midtveit</cp:lastModifiedBy>
  <dcterms:created xsi:type="dcterms:W3CDTF">2012-08-14T06:42:54Z</dcterms:created>
  <dcterms:modified xsi:type="dcterms:W3CDTF">2026-10-15T06:59:56Z</dcterms:modified>
</cp:coreProperties>
</file>